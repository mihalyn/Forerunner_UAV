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CS\Downloads\"/>
    </mc:Choice>
  </mc:AlternateContent>
  <xr:revisionPtr revIDLastSave="0" documentId="13_ncr:1_{926B22C6-3C88-4EB4-B634-EEFE5075FA7A}" xr6:coauthVersionLast="44" xr6:coauthVersionMax="44" xr10:uidLastSave="{00000000-0000-0000-0000-000000000000}"/>
  <bookViews>
    <workbookView xWindow="-120" yWindow="-120" windowWidth="20730" windowHeight="11160" tabRatio="500" xr2:uid="{00000000-000D-0000-FFFF-FFFF00000000}"/>
  </bookViews>
  <sheets>
    <sheet name="Munka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2" i="1" l="1"/>
  <c r="D122" i="1" s="1"/>
  <c r="C122" i="1"/>
  <c r="F122" i="1"/>
  <c r="G122" i="1"/>
  <c r="B123" i="1"/>
  <c r="D123" i="1" s="1"/>
  <c r="C123" i="1"/>
  <c r="G123" i="1" s="1"/>
  <c r="F123" i="1"/>
  <c r="B124" i="1"/>
  <c r="D124" i="1" s="1"/>
  <c r="C124" i="1"/>
  <c r="F124" i="1"/>
  <c r="G124" i="1"/>
  <c r="B125" i="1"/>
  <c r="D125" i="1" s="1"/>
  <c r="C125" i="1"/>
  <c r="F125" i="1"/>
  <c r="G125" i="1"/>
  <c r="B126" i="1"/>
  <c r="D126" i="1" s="1"/>
  <c r="C126" i="1"/>
  <c r="G126" i="1" s="1"/>
  <c r="F126" i="1"/>
  <c r="B127" i="1"/>
  <c r="D127" i="1" s="1"/>
  <c r="C127" i="1"/>
  <c r="F127" i="1"/>
  <c r="G127" i="1"/>
  <c r="B128" i="1"/>
  <c r="D128" i="1" s="1"/>
  <c r="C128" i="1"/>
  <c r="G128" i="1" s="1"/>
  <c r="F128" i="1"/>
  <c r="B129" i="1"/>
  <c r="D129" i="1" s="1"/>
  <c r="C129" i="1"/>
  <c r="G129" i="1" s="1"/>
  <c r="F129" i="1"/>
  <c r="B130" i="1"/>
  <c r="D130" i="1" s="1"/>
  <c r="C130" i="1"/>
  <c r="G130" i="1" s="1"/>
  <c r="F130" i="1"/>
  <c r="B131" i="1"/>
  <c r="D131" i="1" s="1"/>
  <c r="C131" i="1"/>
  <c r="G131" i="1" s="1"/>
  <c r="F131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F90" i="1" s="1"/>
  <c r="F89" i="1"/>
  <c r="B89" i="1"/>
  <c r="B88" i="1"/>
  <c r="F88" i="1" s="1"/>
  <c r="F87" i="1"/>
  <c r="B87" i="1"/>
  <c r="B86" i="1"/>
  <c r="F86" i="1" s="1"/>
  <c r="F85" i="1"/>
  <c r="B85" i="1"/>
  <c r="B84" i="1"/>
  <c r="F84" i="1" s="1"/>
  <c r="F83" i="1"/>
  <c r="B83" i="1"/>
  <c r="B82" i="1"/>
  <c r="F82" i="1" s="1"/>
  <c r="F81" i="1"/>
  <c r="B81" i="1"/>
  <c r="B80" i="1"/>
  <c r="F80" i="1" s="1"/>
  <c r="B79" i="1"/>
  <c r="B78" i="1"/>
  <c r="B77" i="1"/>
  <c r="F76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M5" i="1"/>
  <c r="B5" i="1"/>
  <c r="B4" i="1"/>
  <c r="B3" i="1"/>
  <c r="C3" i="1" s="1"/>
  <c r="B2" i="1"/>
  <c r="E131" i="1" l="1"/>
  <c r="H131" i="1" s="1"/>
  <c r="I131" i="1" s="1"/>
  <c r="E126" i="1"/>
  <c r="H126" i="1" s="1"/>
  <c r="I126" i="1" s="1"/>
  <c r="E124" i="1"/>
  <c r="H124" i="1" s="1"/>
  <c r="I124" i="1" s="1"/>
  <c r="H128" i="1"/>
  <c r="I128" i="1" s="1"/>
  <c r="E128" i="1"/>
  <c r="E127" i="1"/>
  <c r="H127" i="1" s="1"/>
  <c r="I127" i="1" s="1"/>
  <c r="E129" i="1"/>
  <c r="H129" i="1" s="1"/>
  <c r="I129" i="1" s="1"/>
  <c r="H125" i="1"/>
  <c r="I125" i="1" s="1"/>
  <c r="E125" i="1"/>
  <c r="H130" i="1"/>
  <c r="I130" i="1" s="1"/>
  <c r="E130" i="1"/>
  <c r="E123" i="1"/>
  <c r="H123" i="1" s="1"/>
  <c r="I123" i="1" s="1"/>
  <c r="E122" i="1"/>
  <c r="H122" i="1" s="1"/>
  <c r="I122" i="1" s="1"/>
  <c r="C118" i="1"/>
  <c r="G118" i="1" s="1"/>
  <c r="C114" i="1"/>
  <c r="G114" i="1" s="1"/>
  <c r="C110" i="1"/>
  <c r="G110" i="1" s="1"/>
  <c r="C106" i="1"/>
  <c r="G106" i="1" s="1"/>
  <c r="C102" i="1"/>
  <c r="G102" i="1" s="1"/>
  <c r="C98" i="1"/>
  <c r="G98" i="1" s="1"/>
  <c r="C94" i="1"/>
  <c r="G94" i="1" s="1"/>
  <c r="C121" i="1"/>
  <c r="G121" i="1" s="1"/>
  <c r="C117" i="1"/>
  <c r="G117" i="1" s="1"/>
  <c r="C113" i="1"/>
  <c r="G113" i="1" s="1"/>
  <c r="C109" i="1"/>
  <c r="G109" i="1" s="1"/>
  <c r="C105" i="1"/>
  <c r="G105" i="1" s="1"/>
  <c r="C101" i="1"/>
  <c r="G101" i="1" s="1"/>
  <c r="C97" i="1"/>
  <c r="G97" i="1" s="1"/>
  <c r="C93" i="1"/>
  <c r="G93" i="1" s="1"/>
  <c r="C82" i="1"/>
  <c r="C80" i="1"/>
  <c r="C120" i="1"/>
  <c r="G120" i="1" s="1"/>
  <c r="C116" i="1"/>
  <c r="G116" i="1" s="1"/>
  <c r="C112" i="1"/>
  <c r="G112" i="1" s="1"/>
  <c r="C108" i="1"/>
  <c r="G108" i="1" s="1"/>
  <c r="C104" i="1"/>
  <c r="G104" i="1" s="1"/>
  <c r="C100" i="1"/>
  <c r="G100" i="1" s="1"/>
  <c r="C96" i="1"/>
  <c r="G96" i="1" s="1"/>
  <c r="C92" i="1"/>
  <c r="G92" i="1" s="1"/>
  <c r="C119" i="1"/>
  <c r="G119" i="1" s="1"/>
  <c r="C115" i="1"/>
  <c r="G115" i="1" s="1"/>
  <c r="C111" i="1"/>
  <c r="G111" i="1" s="1"/>
  <c r="C107" i="1"/>
  <c r="G107" i="1" s="1"/>
  <c r="C103" i="1"/>
  <c r="G103" i="1" s="1"/>
  <c r="C99" i="1"/>
  <c r="G99" i="1" s="1"/>
  <c r="C95" i="1"/>
  <c r="G95" i="1" s="1"/>
  <c r="C91" i="1"/>
  <c r="G91" i="1" s="1"/>
  <c r="C5" i="1"/>
  <c r="D5" i="1" s="1"/>
  <c r="D8" i="1"/>
  <c r="C8" i="1"/>
  <c r="G8" i="1" s="1"/>
  <c r="D10" i="1"/>
  <c r="G10" i="1"/>
  <c r="C10" i="1"/>
  <c r="C12" i="1"/>
  <c r="D12" i="1" s="1"/>
  <c r="C14" i="1"/>
  <c r="D14" i="1" s="1"/>
  <c r="D16" i="1"/>
  <c r="C16" i="1"/>
  <c r="G16" i="1" s="1"/>
  <c r="D18" i="1"/>
  <c r="G18" i="1"/>
  <c r="C18" i="1"/>
  <c r="C19" i="1"/>
  <c r="D19" i="1" s="1"/>
  <c r="C20" i="1"/>
  <c r="D20" i="1" s="1"/>
  <c r="D4" i="1"/>
  <c r="C7" i="1"/>
  <c r="D7" i="1" s="1"/>
  <c r="D15" i="1"/>
  <c r="C15" i="1"/>
  <c r="G15" i="1" s="1"/>
  <c r="F2" i="1"/>
  <c r="F4" i="1"/>
  <c r="D3" i="1"/>
  <c r="C2" i="1"/>
  <c r="D2" i="1" s="1"/>
  <c r="C4" i="1"/>
  <c r="C6" i="1"/>
  <c r="D6" i="1" s="1"/>
  <c r="C9" i="1"/>
  <c r="D9" i="1" s="1"/>
  <c r="D11" i="1"/>
  <c r="C11" i="1"/>
  <c r="G11" i="1" s="1"/>
  <c r="D13" i="1"/>
  <c r="G13" i="1"/>
  <c r="C13" i="1"/>
  <c r="C17" i="1"/>
  <c r="D17" i="1" s="1"/>
  <c r="F3" i="1"/>
  <c r="F5" i="1"/>
  <c r="G2" i="1"/>
  <c r="G3" i="1"/>
  <c r="G4" i="1"/>
  <c r="G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C65" i="1"/>
  <c r="G65" i="1" s="1"/>
  <c r="D65" i="1"/>
  <c r="G66" i="1"/>
  <c r="C66" i="1"/>
  <c r="D66" i="1"/>
  <c r="C67" i="1"/>
  <c r="D67" i="1" s="1"/>
  <c r="C68" i="1"/>
  <c r="G68" i="1" s="1"/>
  <c r="D68" i="1"/>
  <c r="C69" i="1"/>
  <c r="G69" i="1" s="1"/>
  <c r="D69" i="1"/>
  <c r="G70" i="1"/>
  <c r="C70" i="1"/>
  <c r="D70" i="1"/>
  <c r="C71" i="1"/>
  <c r="D71" i="1" s="1"/>
  <c r="C72" i="1"/>
  <c r="G72" i="1" s="1"/>
  <c r="D72" i="1"/>
  <c r="C73" i="1"/>
  <c r="G73" i="1" s="1"/>
  <c r="D73" i="1"/>
  <c r="G74" i="1"/>
  <c r="C74" i="1"/>
  <c r="D74" i="1"/>
  <c r="C75" i="1"/>
  <c r="D75" i="1" s="1"/>
  <c r="C85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G77" i="1"/>
  <c r="C77" i="1"/>
  <c r="D77" i="1"/>
  <c r="C83" i="1"/>
  <c r="C21" i="1"/>
  <c r="D21" i="1" s="1"/>
  <c r="G21" i="1"/>
  <c r="C22" i="1"/>
  <c r="D22" i="1" s="1"/>
  <c r="G22" i="1"/>
  <c r="C23" i="1"/>
  <c r="D23" i="1" s="1"/>
  <c r="G23" i="1"/>
  <c r="C24" i="1"/>
  <c r="D24" i="1" s="1"/>
  <c r="G24" i="1"/>
  <c r="C25" i="1"/>
  <c r="D25" i="1" s="1"/>
  <c r="G25" i="1"/>
  <c r="C26" i="1"/>
  <c r="D26" i="1" s="1"/>
  <c r="G26" i="1"/>
  <c r="C27" i="1"/>
  <c r="D27" i="1" s="1"/>
  <c r="G27" i="1"/>
  <c r="C28" i="1"/>
  <c r="D28" i="1" s="1"/>
  <c r="G28" i="1"/>
  <c r="C29" i="1"/>
  <c r="D29" i="1" s="1"/>
  <c r="G29" i="1"/>
  <c r="C30" i="1"/>
  <c r="D30" i="1" s="1"/>
  <c r="G30" i="1"/>
  <c r="C31" i="1"/>
  <c r="D31" i="1" s="1"/>
  <c r="G31" i="1"/>
  <c r="C32" i="1"/>
  <c r="D32" i="1" s="1"/>
  <c r="G32" i="1"/>
  <c r="C33" i="1"/>
  <c r="D33" i="1" s="1"/>
  <c r="G33" i="1"/>
  <c r="C34" i="1"/>
  <c r="D34" i="1" s="1"/>
  <c r="G34" i="1"/>
  <c r="C35" i="1"/>
  <c r="D35" i="1" s="1"/>
  <c r="G35" i="1"/>
  <c r="C36" i="1"/>
  <c r="D36" i="1" s="1"/>
  <c r="G36" i="1"/>
  <c r="C37" i="1"/>
  <c r="D37" i="1" s="1"/>
  <c r="G37" i="1"/>
  <c r="C38" i="1"/>
  <c r="D38" i="1" s="1"/>
  <c r="G38" i="1"/>
  <c r="C39" i="1"/>
  <c r="D39" i="1" s="1"/>
  <c r="G39" i="1"/>
  <c r="C40" i="1"/>
  <c r="D40" i="1" s="1"/>
  <c r="G40" i="1"/>
  <c r="C41" i="1"/>
  <c r="D41" i="1" s="1"/>
  <c r="G41" i="1"/>
  <c r="C42" i="1"/>
  <c r="D42" i="1" s="1"/>
  <c r="C43" i="1"/>
  <c r="D43" i="1" s="1"/>
  <c r="G43" i="1"/>
  <c r="C44" i="1"/>
  <c r="G44" i="1" s="1"/>
  <c r="C45" i="1"/>
  <c r="D45" i="1" s="1"/>
  <c r="G45" i="1"/>
  <c r="C46" i="1"/>
  <c r="D46" i="1" s="1"/>
  <c r="C47" i="1"/>
  <c r="D47" i="1" s="1"/>
  <c r="G47" i="1"/>
  <c r="C48" i="1"/>
  <c r="D48" i="1" s="1"/>
  <c r="C49" i="1"/>
  <c r="D49" i="1" s="1"/>
  <c r="G49" i="1"/>
  <c r="C50" i="1"/>
  <c r="G50" i="1" s="1"/>
  <c r="C51" i="1"/>
  <c r="D51" i="1" s="1"/>
  <c r="G51" i="1"/>
  <c r="C52" i="1"/>
  <c r="D52" i="1" s="1"/>
  <c r="C53" i="1"/>
  <c r="D53" i="1" s="1"/>
  <c r="G53" i="1"/>
  <c r="C54" i="1"/>
  <c r="G54" i="1" s="1"/>
  <c r="C55" i="1"/>
  <c r="D55" i="1" s="1"/>
  <c r="G55" i="1"/>
  <c r="C56" i="1"/>
  <c r="G56" i="1" s="1"/>
  <c r="C57" i="1"/>
  <c r="D57" i="1" s="1"/>
  <c r="G57" i="1"/>
  <c r="C58" i="1"/>
  <c r="D58" i="1" s="1"/>
  <c r="C59" i="1"/>
  <c r="D59" i="1" s="1"/>
  <c r="G59" i="1"/>
  <c r="C60" i="1"/>
  <c r="G60" i="1" s="1"/>
  <c r="C61" i="1"/>
  <c r="D61" i="1" s="1"/>
  <c r="G61" i="1"/>
  <c r="C62" i="1"/>
  <c r="D62" i="1" s="1"/>
  <c r="C63" i="1"/>
  <c r="D63" i="1" s="1"/>
  <c r="G63" i="1"/>
  <c r="C64" i="1"/>
  <c r="D64" i="1" s="1"/>
  <c r="F65" i="1"/>
  <c r="F66" i="1"/>
  <c r="F67" i="1"/>
  <c r="F68" i="1"/>
  <c r="F69" i="1"/>
  <c r="F70" i="1"/>
  <c r="F71" i="1"/>
  <c r="F72" i="1"/>
  <c r="F73" i="1"/>
  <c r="F74" i="1"/>
  <c r="F75" i="1"/>
  <c r="F77" i="1"/>
  <c r="C81" i="1"/>
  <c r="C89" i="1"/>
  <c r="C76" i="1"/>
  <c r="D76" i="1" s="1"/>
  <c r="C87" i="1"/>
  <c r="D78" i="1"/>
  <c r="D92" i="1"/>
  <c r="D96" i="1"/>
  <c r="D100" i="1"/>
  <c r="D104" i="1"/>
  <c r="D108" i="1"/>
  <c r="D112" i="1"/>
  <c r="D116" i="1"/>
  <c r="D120" i="1"/>
  <c r="D80" i="1"/>
  <c r="G80" i="1"/>
  <c r="D82" i="1"/>
  <c r="G82" i="1"/>
  <c r="D90" i="1"/>
  <c r="G90" i="1"/>
  <c r="D93" i="1"/>
  <c r="D97" i="1"/>
  <c r="D101" i="1"/>
  <c r="D105" i="1"/>
  <c r="D109" i="1"/>
  <c r="D113" i="1"/>
  <c r="D117" i="1"/>
  <c r="D121" i="1"/>
  <c r="F78" i="1"/>
  <c r="F79" i="1"/>
  <c r="C84" i="1"/>
  <c r="D84" i="1" s="1"/>
  <c r="C86" i="1"/>
  <c r="D86" i="1" s="1"/>
  <c r="C88" i="1"/>
  <c r="D88" i="1" s="1"/>
  <c r="C90" i="1"/>
  <c r="D94" i="1"/>
  <c r="D98" i="1"/>
  <c r="D102" i="1"/>
  <c r="D106" i="1"/>
  <c r="D110" i="1"/>
  <c r="D114" i="1"/>
  <c r="D118" i="1"/>
  <c r="C78" i="1"/>
  <c r="G78" i="1" s="1"/>
  <c r="C79" i="1"/>
  <c r="G79" i="1" s="1"/>
  <c r="D81" i="1"/>
  <c r="G81" i="1"/>
  <c r="D83" i="1"/>
  <c r="G83" i="1"/>
  <c r="D85" i="1"/>
  <c r="G85" i="1"/>
  <c r="D87" i="1"/>
  <c r="G87" i="1"/>
  <c r="D89" i="1"/>
  <c r="G89" i="1"/>
  <c r="D91" i="1"/>
  <c r="D95" i="1"/>
  <c r="D99" i="1"/>
  <c r="D103" i="1"/>
  <c r="D107" i="1"/>
  <c r="D111" i="1"/>
  <c r="D115" i="1"/>
  <c r="D119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E76" i="1" l="1"/>
  <c r="H76" i="1"/>
  <c r="E58" i="1"/>
  <c r="H58" i="1" s="1"/>
  <c r="E53" i="1"/>
  <c r="H53" i="1" s="1"/>
  <c r="I53" i="1" s="1"/>
  <c r="E45" i="1"/>
  <c r="H45" i="1" s="1"/>
  <c r="I45" i="1" s="1"/>
  <c r="E42" i="1"/>
  <c r="H42" i="1" s="1"/>
  <c r="E40" i="1"/>
  <c r="H40" i="1" s="1"/>
  <c r="I40" i="1" s="1"/>
  <c r="E38" i="1"/>
  <c r="H38" i="1" s="1"/>
  <c r="I38" i="1" s="1"/>
  <c r="E36" i="1"/>
  <c r="H36" i="1" s="1"/>
  <c r="I36" i="1" s="1"/>
  <c r="E34" i="1"/>
  <c r="H34" i="1" s="1"/>
  <c r="I34" i="1" s="1"/>
  <c r="E32" i="1"/>
  <c r="H32" i="1" s="1"/>
  <c r="I32" i="1" s="1"/>
  <c r="E30" i="1"/>
  <c r="H30" i="1" s="1"/>
  <c r="I30" i="1" s="1"/>
  <c r="E28" i="1"/>
  <c r="H28" i="1" s="1"/>
  <c r="I28" i="1" s="1"/>
  <c r="E26" i="1"/>
  <c r="H26" i="1" s="1"/>
  <c r="I26" i="1" s="1"/>
  <c r="E24" i="1"/>
  <c r="H24" i="1" s="1"/>
  <c r="I24" i="1" s="1"/>
  <c r="E22" i="1"/>
  <c r="H22" i="1" s="1"/>
  <c r="I22" i="1" s="1"/>
  <c r="E75" i="1"/>
  <c r="H75" i="1" s="1"/>
  <c r="E71" i="1"/>
  <c r="H71" i="1" s="1"/>
  <c r="E67" i="1"/>
  <c r="H67" i="1" s="1"/>
  <c r="I67" i="1" s="1"/>
  <c r="E2" i="1"/>
  <c r="H2" i="1"/>
  <c r="E20" i="1"/>
  <c r="H20" i="1" s="1"/>
  <c r="E12" i="1"/>
  <c r="H12" i="1" s="1"/>
  <c r="E62" i="1"/>
  <c r="H62" i="1" s="1"/>
  <c r="I62" i="1" s="1"/>
  <c r="E86" i="1"/>
  <c r="H86" i="1" s="1"/>
  <c r="H61" i="1"/>
  <c r="I61" i="1" s="1"/>
  <c r="E61" i="1"/>
  <c r="H84" i="1"/>
  <c r="E84" i="1"/>
  <c r="E63" i="1"/>
  <c r="H63" i="1" s="1"/>
  <c r="I63" i="1" s="1"/>
  <c r="H55" i="1"/>
  <c r="I55" i="1" s="1"/>
  <c r="E55" i="1"/>
  <c r="E52" i="1"/>
  <c r="H52" i="1" s="1"/>
  <c r="I52" i="1" s="1"/>
  <c r="H47" i="1"/>
  <c r="I47" i="1" s="1"/>
  <c r="E47" i="1"/>
  <c r="E9" i="1"/>
  <c r="H9" i="1" s="1"/>
  <c r="I9" i="1" s="1"/>
  <c r="H19" i="1"/>
  <c r="E19" i="1"/>
  <c r="E57" i="1"/>
  <c r="H57" i="1" s="1"/>
  <c r="I57" i="1" s="1"/>
  <c r="E49" i="1"/>
  <c r="H49" i="1" s="1"/>
  <c r="I49" i="1" s="1"/>
  <c r="E46" i="1"/>
  <c r="H46" i="1" s="1"/>
  <c r="I46" i="1" s="1"/>
  <c r="E41" i="1"/>
  <c r="H41" i="1" s="1"/>
  <c r="I41" i="1" s="1"/>
  <c r="E39" i="1"/>
  <c r="H39" i="1" s="1"/>
  <c r="I39" i="1" s="1"/>
  <c r="E37" i="1"/>
  <c r="H37" i="1" s="1"/>
  <c r="I37" i="1" s="1"/>
  <c r="E35" i="1"/>
  <c r="H35" i="1" s="1"/>
  <c r="I35" i="1" s="1"/>
  <c r="E33" i="1"/>
  <c r="H33" i="1" s="1"/>
  <c r="I33" i="1" s="1"/>
  <c r="E31" i="1"/>
  <c r="H31" i="1" s="1"/>
  <c r="I31" i="1" s="1"/>
  <c r="E29" i="1"/>
  <c r="H29" i="1" s="1"/>
  <c r="I29" i="1" s="1"/>
  <c r="E27" i="1"/>
  <c r="H27" i="1" s="1"/>
  <c r="I27" i="1" s="1"/>
  <c r="E25" i="1"/>
  <c r="H25" i="1" s="1"/>
  <c r="I25" i="1" s="1"/>
  <c r="E23" i="1"/>
  <c r="H23" i="1" s="1"/>
  <c r="I23" i="1" s="1"/>
  <c r="E21" i="1"/>
  <c r="H21" i="1" s="1"/>
  <c r="I21" i="1" s="1"/>
  <c r="E6" i="1"/>
  <c r="H6" i="1" s="1"/>
  <c r="E7" i="1"/>
  <c r="H7" i="1" s="1"/>
  <c r="E5" i="1"/>
  <c r="H5" i="1"/>
  <c r="I5" i="1" s="1"/>
  <c r="H88" i="1"/>
  <c r="E88" i="1"/>
  <c r="E64" i="1"/>
  <c r="H64" i="1" s="1"/>
  <c r="H59" i="1"/>
  <c r="I59" i="1" s="1"/>
  <c r="E59" i="1"/>
  <c r="E51" i="1"/>
  <c r="H51" i="1" s="1"/>
  <c r="I51" i="1" s="1"/>
  <c r="H48" i="1"/>
  <c r="E48" i="1"/>
  <c r="E43" i="1"/>
  <c r="H43" i="1" s="1"/>
  <c r="I43" i="1" s="1"/>
  <c r="H17" i="1"/>
  <c r="I17" i="1" s="1"/>
  <c r="E17" i="1"/>
  <c r="E14" i="1"/>
  <c r="H14" i="1" s="1"/>
  <c r="I14" i="1" s="1"/>
  <c r="E115" i="1"/>
  <c r="H115" i="1" s="1"/>
  <c r="I115" i="1" s="1"/>
  <c r="H99" i="1"/>
  <c r="I99" i="1" s="1"/>
  <c r="E99" i="1"/>
  <c r="E89" i="1"/>
  <c r="H89" i="1" s="1"/>
  <c r="I89" i="1" s="1"/>
  <c r="H85" i="1"/>
  <c r="I85" i="1" s="1"/>
  <c r="E85" i="1"/>
  <c r="E81" i="1"/>
  <c r="H81" i="1" s="1"/>
  <c r="I81" i="1" s="1"/>
  <c r="H114" i="1"/>
  <c r="E114" i="1"/>
  <c r="E98" i="1"/>
  <c r="H98" i="1" s="1"/>
  <c r="I98" i="1" s="1"/>
  <c r="H121" i="1"/>
  <c r="I121" i="1" s="1"/>
  <c r="E121" i="1"/>
  <c r="E105" i="1"/>
  <c r="H105" i="1" s="1"/>
  <c r="I105" i="1" s="1"/>
  <c r="G86" i="1"/>
  <c r="E120" i="1"/>
  <c r="H120" i="1" s="1"/>
  <c r="I120" i="1" s="1"/>
  <c r="E104" i="1"/>
  <c r="H104" i="1" s="1"/>
  <c r="I104" i="1" s="1"/>
  <c r="D79" i="1"/>
  <c r="H72" i="1"/>
  <c r="I72" i="1" s="1"/>
  <c r="E72" i="1"/>
  <c r="E68" i="1"/>
  <c r="H68" i="1" s="1"/>
  <c r="I68" i="1" s="1"/>
  <c r="I19" i="1"/>
  <c r="H11" i="1"/>
  <c r="I11" i="1" s="1"/>
  <c r="E11" i="1"/>
  <c r="D54" i="1"/>
  <c r="H15" i="1"/>
  <c r="I15" i="1" s="1"/>
  <c r="E15" i="1"/>
  <c r="E4" i="1"/>
  <c r="H4" i="1"/>
  <c r="I4" i="1" s="1"/>
  <c r="H16" i="1"/>
  <c r="E16" i="1"/>
  <c r="E8" i="1"/>
  <c r="H8" i="1" s="1"/>
  <c r="I8" i="1" s="1"/>
  <c r="D60" i="1"/>
  <c r="D44" i="1"/>
  <c r="E111" i="1"/>
  <c r="H111" i="1" s="1"/>
  <c r="I111" i="1" s="1"/>
  <c r="E110" i="1"/>
  <c r="H110" i="1" s="1"/>
  <c r="I110" i="1" s="1"/>
  <c r="E94" i="1"/>
  <c r="H94" i="1" s="1"/>
  <c r="I94" i="1" s="1"/>
  <c r="E117" i="1"/>
  <c r="H117" i="1" s="1"/>
  <c r="I117" i="1" s="1"/>
  <c r="E101" i="1"/>
  <c r="H101" i="1" s="1"/>
  <c r="I101" i="1" s="1"/>
  <c r="E90" i="1"/>
  <c r="H90" i="1" s="1"/>
  <c r="I90" i="1" s="1"/>
  <c r="E82" i="1"/>
  <c r="H82" i="1" s="1"/>
  <c r="I82" i="1" s="1"/>
  <c r="E116" i="1"/>
  <c r="H116" i="1" s="1"/>
  <c r="I116" i="1" s="1"/>
  <c r="E100" i="1"/>
  <c r="H100" i="1" s="1"/>
  <c r="I100" i="1" s="1"/>
  <c r="E78" i="1"/>
  <c r="H78" i="1"/>
  <c r="I78" i="1" s="1"/>
  <c r="G76" i="1"/>
  <c r="I76" i="1" s="1"/>
  <c r="G75" i="1"/>
  <c r="I75" i="1" s="1"/>
  <c r="E73" i="1"/>
  <c r="H73" i="1" s="1"/>
  <c r="I73" i="1" s="1"/>
  <c r="G71" i="1"/>
  <c r="I71" i="1" s="1"/>
  <c r="H69" i="1"/>
  <c r="I69" i="1" s="1"/>
  <c r="E69" i="1"/>
  <c r="G67" i="1"/>
  <c r="E65" i="1"/>
  <c r="H65" i="1" s="1"/>
  <c r="I65" i="1" s="1"/>
  <c r="G17" i="1"/>
  <c r="E13" i="1"/>
  <c r="H13" i="1" s="1"/>
  <c r="I13" i="1" s="1"/>
  <c r="G6" i="1"/>
  <c r="I6" i="1" s="1"/>
  <c r="E3" i="1"/>
  <c r="H3" i="1"/>
  <c r="D50" i="1"/>
  <c r="I2" i="1"/>
  <c r="G19" i="1"/>
  <c r="E18" i="1"/>
  <c r="H18" i="1" s="1"/>
  <c r="I18" i="1" s="1"/>
  <c r="G12" i="1"/>
  <c r="I12" i="1" s="1"/>
  <c r="E10" i="1"/>
  <c r="H10" i="1" s="1"/>
  <c r="I10" i="1" s="1"/>
  <c r="D56" i="1"/>
  <c r="E95" i="1"/>
  <c r="H95" i="1" s="1"/>
  <c r="I95" i="1" s="1"/>
  <c r="H107" i="1"/>
  <c r="I107" i="1" s="1"/>
  <c r="E107" i="1"/>
  <c r="E91" i="1"/>
  <c r="H91" i="1" s="1"/>
  <c r="I91" i="1" s="1"/>
  <c r="H87" i="1"/>
  <c r="I87" i="1" s="1"/>
  <c r="E87" i="1"/>
  <c r="E83" i="1"/>
  <c r="H83" i="1" s="1"/>
  <c r="I83" i="1" s="1"/>
  <c r="H106" i="1"/>
  <c r="I106" i="1" s="1"/>
  <c r="E106" i="1"/>
  <c r="E113" i="1"/>
  <c r="H113" i="1" s="1"/>
  <c r="I113" i="1" s="1"/>
  <c r="E97" i="1"/>
  <c r="H97" i="1" s="1"/>
  <c r="I97" i="1" s="1"/>
  <c r="G88" i="1"/>
  <c r="G84" i="1"/>
  <c r="I84" i="1" s="1"/>
  <c r="E112" i="1"/>
  <c r="H112" i="1" s="1"/>
  <c r="I112" i="1" s="1"/>
  <c r="E96" i="1"/>
  <c r="H96" i="1" s="1"/>
  <c r="I96" i="1" s="1"/>
  <c r="G64" i="1"/>
  <c r="I64" i="1" s="1"/>
  <c r="G62" i="1"/>
  <c r="G58" i="1"/>
  <c r="I58" i="1" s="1"/>
  <c r="G52" i="1"/>
  <c r="G48" i="1"/>
  <c r="I48" i="1" s="1"/>
  <c r="G46" i="1"/>
  <c r="G42" i="1"/>
  <c r="I42" i="1" s="1"/>
  <c r="E77" i="1"/>
  <c r="H77" i="1"/>
  <c r="I77" i="1" s="1"/>
  <c r="H74" i="1"/>
  <c r="I74" i="1" s="1"/>
  <c r="E74" i="1"/>
  <c r="E70" i="1"/>
  <c r="H70" i="1" s="1"/>
  <c r="I70" i="1" s="1"/>
  <c r="H66" i="1"/>
  <c r="I66" i="1" s="1"/>
  <c r="E66" i="1"/>
  <c r="G9" i="1"/>
  <c r="G7" i="1"/>
  <c r="I7" i="1" s="1"/>
  <c r="G20" i="1"/>
  <c r="I20" i="1" s="1"/>
  <c r="G14" i="1"/>
  <c r="I114" i="1"/>
  <c r="E119" i="1"/>
  <c r="H119" i="1" s="1"/>
  <c r="I119" i="1" s="1"/>
  <c r="H103" i="1"/>
  <c r="I103" i="1" s="1"/>
  <c r="E103" i="1"/>
  <c r="E118" i="1"/>
  <c r="H118" i="1" s="1"/>
  <c r="I118" i="1" s="1"/>
  <c r="H102" i="1"/>
  <c r="I102" i="1" s="1"/>
  <c r="E102" i="1"/>
  <c r="E109" i="1"/>
  <c r="H109" i="1" s="1"/>
  <c r="I109" i="1" s="1"/>
  <c r="E93" i="1"/>
  <c r="H93" i="1" s="1"/>
  <c r="I93" i="1" s="1"/>
  <c r="E80" i="1"/>
  <c r="H80" i="1" s="1"/>
  <c r="I80" i="1" s="1"/>
  <c r="E108" i="1"/>
  <c r="H108" i="1" s="1"/>
  <c r="I108" i="1" s="1"/>
  <c r="E92" i="1"/>
  <c r="H92" i="1" s="1"/>
  <c r="I92" i="1" s="1"/>
  <c r="I16" i="1"/>
  <c r="I3" i="1"/>
  <c r="I86" i="1" l="1"/>
  <c r="E56" i="1"/>
  <c r="H56" i="1" s="1"/>
  <c r="I56" i="1" s="1"/>
  <c r="H54" i="1"/>
  <c r="I54" i="1" s="1"/>
  <c r="E54" i="1"/>
  <c r="E60" i="1"/>
  <c r="H60" i="1" s="1"/>
  <c r="I60" i="1" s="1"/>
  <c r="I88" i="1"/>
  <c r="E50" i="1"/>
  <c r="H50" i="1" s="1"/>
  <c r="I50" i="1" s="1"/>
  <c r="E44" i="1"/>
  <c r="H44" i="1" s="1"/>
  <c r="I44" i="1" s="1"/>
  <c r="E79" i="1"/>
  <c r="H79" i="1" s="1"/>
  <c r="I79" i="1" s="1"/>
</calcChain>
</file>

<file path=xl/sharedStrings.xml><?xml version="1.0" encoding="utf-8"?>
<sst xmlns="http://schemas.openxmlformats.org/spreadsheetml/2006/main" count="13" uniqueCount="13">
  <si>
    <t>V0 km/h</t>
  </si>
  <si>
    <t>V0</t>
  </si>
  <si>
    <t>t3</t>
  </si>
  <si>
    <t>V3</t>
  </si>
  <si>
    <t>t4</t>
  </si>
  <si>
    <t>S2</t>
  </si>
  <si>
    <t>S3</t>
  </si>
  <si>
    <t>S4</t>
  </si>
  <si>
    <t>S</t>
  </si>
  <si>
    <t>a_a</t>
  </si>
  <si>
    <t>a_x</t>
  </si>
  <si>
    <t>t2</t>
  </si>
  <si>
    <t>t3c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</si>
</sst>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rgb="FF000000"/>
      <name val="Calibri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800" b="1">
                <a:solidFill>
                  <a:sysClr val="windowText" lastClr="000000"/>
                </a:solidFill>
              </a:rPr>
              <a:t>Braking distance</a:t>
            </a:r>
            <a:r>
              <a:rPr lang="hu-HU" sz="1800" b="1" baseline="0">
                <a:solidFill>
                  <a:sysClr val="windowText" lastClr="000000"/>
                </a:solidFill>
              </a:rPr>
              <a:t> of the theoretical vehicle</a:t>
            </a:r>
            <a:endParaRPr lang="hu-HU" sz="18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317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Munka1!$A$2:$A$131</c:f>
              <c:numCache>
                <c:formatCode>General</c:formatCode>
                <c:ptCount val="1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</c:numCache>
            </c:numRef>
          </c:xVal>
          <c:yVal>
            <c:numRef>
              <c:f>Munka1!$I$2:$I$131</c:f>
              <c:numCache>
                <c:formatCode>General</c:formatCode>
                <c:ptCount val="130"/>
                <c:pt idx="0">
                  <c:v>0.81851851851851842</c:v>
                </c:pt>
                <c:pt idx="1">
                  <c:v>0.67539014466417546</c:v>
                </c:pt>
                <c:pt idx="2">
                  <c:v>0.55722927882901085</c:v>
                </c:pt>
                <c:pt idx="3">
                  <c:v>0.45925925925925903</c:v>
                </c:pt>
                <c:pt idx="4">
                  <c:v>0.37871943923606244</c:v>
                </c:pt>
                <c:pt idx="5">
                  <c:v>0.49585707602339191</c:v>
                </c:pt>
                <c:pt idx="6">
                  <c:v>0.67784213125406123</c:v>
                </c:pt>
                <c:pt idx="7">
                  <c:v>0.88013257959714108</c:v>
                </c:pt>
                <c:pt idx="8">
                  <c:v>1.1027284210526316</c:v>
                </c:pt>
                <c:pt idx="9">
                  <c:v>1.3456296556205327</c:v>
                </c:pt>
                <c:pt idx="10">
                  <c:v>1.6088362833008445</c:v>
                </c:pt>
                <c:pt idx="11">
                  <c:v>1.8923483040935671</c:v>
                </c:pt>
                <c:pt idx="12">
                  <c:v>2.1961657179987006</c:v>
                </c:pt>
                <c:pt idx="13">
                  <c:v>2.5202885250162446</c:v>
                </c:pt>
                <c:pt idx="14">
                  <c:v>2.8647167251461991</c:v>
                </c:pt>
                <c:pt idx="15">
                  <c:v>3.2294503183885643</c:v>
                </c:pt>
                <c:pt idx="16">
                  <c:v>3.6144893047433402</c:v>
                </c:pt>
                <c:pt idx="17">
                  <c:v>4.0198336842105267</c:v>
                </c:pt>
                <c:pt idx="18">
                  <c:v>4.4454834567901234</c:v>
                </c:pt>
                <c:pt idx="19">
                  <c:v>4.8914386224821307</c:v>
                </c:pt>
                <c:pt idx="20">
                  <c:v>5.3576991812865495</c:v>
                </c:pt>
                <c:pt idx="21">
                  <c:v>5.8442651332033781</c:v>
                </c:pt>
                <c:pt idx="22">
                  <c:v>6.3511364782326183</c:v>
                </c:pt>
                <c:pt idx="23">
                  <c:v>6.8783132163742682</c:v>
                </c:pt>
                <c:pt idx="24">
                  <c:v>7.4257953476283305</c:v>
                </c:pt>
                <c:pt idx="25">
                  <c:v>7.9935828719948026</c:v>
                </c:pt>
                <c:pt idx="26">
                  <c:v>8.5816757894736853</c:v>
                </c:pt>
                <c:pt idx="27">
                  <c:v>9.1900741000649777</c:v>
                </c:pt>
                <c:pt idx="28">
                  <c:v>9.8187778037686808</c:v>
                </c:pt>
                <c:pt idx="29">
                  <c:v>10.467786900584798</c:v>
                </c:pt>
                <c:pt idx="30">
                  <c:v>11.137101390513319</c:v>
                </c:pt>
                <c:pt idx="31">
                  <c:v>11.826721273554258</c:v>
                </c:pt>
                <c:pt idx="32">
                  <c:v>12.536646549707601</c:v>
                </c:pt>
                <c:pt idx="33">
                  <c:v>13.266877218973359</c:v>
                </c:pt>
                <c:pt idx="34">
                  <c:v>14.017413281351526</c:v>
                </c:pt>
                <c:pt idx="35">
                  <c:v>14.788254736842106</c:v>
                </c:pt>
                <c:pt idx="36">
                  <c:v>15.57940158544509</c:v>
                </c:pt>
                <c:pt idx="37">
                  <c:v>16.390853827160491</c:v>
                </c:pt>
                <c:pt idx="38">
                  <c:v>17.222611461988304</c:v>
                </c:pt>
                <c:pt idx="39">
                  <c:v>18.074674489928526</c:v>
                </c:pt>
                <c:pt idx="40">
                  <c:v>18.94704291098116</c:v>
                </c:pt>
                <c:pt idx="41">
                  <c:v>19.839716725146197</c:v>
                </c:pt>
                <c:pt idx="42">
                  <c:v>20.752695932423652</c:v>
                </c:pt>
                <c:pt idx="43">
                  <c:v>21.685980532813517</c:v>
                </c:pt>
                <c:pt idx="44">
                  <c:v>22.639570526315794</c:v>
                </c:pt>
                <c:pt idx="45">
                  <c:v>23.613465912930472</c:v>
                </c:pt>
                <c:pt idx="46">
                  <c:v>24.607666692657567</c:v>
                </c:pt>
                <c:pt idx="47">
                  <c:v>25.622172865497074</c:v>
                </c:pt>
                <c:pt idx="48">
                  <c:v>26.656984431448997</c:v>
                </c:pt>
                <c:pt idx="49">
                  <c:v>27.712101390513325</c:v>
                </c:pt>
                <c:pt idx="50">
                  <c:v>28.787523742690055</c:v>
                </c:pt>
                <c:pt idx="51">
                  <c:v>29.883251487979205</c:v>
                </c:pt>
                <c:pt idx="52">
                  <c:v>30.999284626380767</c:v>
                </c:pt>
                <c:pt idx="53">
                  <c:v>32.135623157894742</c:v>
                </c:pt>
                <c:pt idx="54">
                  <c:v>33.292267082521107</c:v>
                </c:pt>
                <c:pt idx="55">
                  <c:v>34.46921640025991</c:v>
                </c:pt>
                <c:pt idx="56">
                  <c:v>35.666471111111107</c:v>
                </c:pt>
                <c:pt idx="57">
                  <c:v>36.884031215074728</c:v>
                </c:pt>
                <c:pt idx="58">
                  <c:v>38.121896712150757</c:v>
                </c:pt>
                <c:pt idx="59">
                  <c:v>39.380067602339189</c:v>
                </c:pt>
                <c:pt idx="60">
                  <c:v>40.658543885640022</c:v>
                </c:pt>
                <c:pt idx="61">
                  <c:v>41.957325562053285</c:v>
                </c:pt>
                <c:pt idx="62">
                  <c:v>43.276412631578957</c:v>
                </c:pt>
                <c:pt idx="63">
                  <c:v>44.615805094217038</c:v>
                </c:pt>
                <c:pt idx="64">
                  <c:v>45.975502949967513</c:v>
                </c:pt>
                <c:pt idx="65">
                  <c:v>47.355506198830412</c:v>
                </c:pt>
                <c:pt idx="66">
                  <c:v>48.755814840805726</c:v>
                </c:pt>
                <c:pt idx="67">
                  <c:v>50.176428875893443</c:v>
                </c:pt>
                <c:pt idx="68">
                  <c:v>51.617348304093582</c:v>
                </c:pt>
                <c:pt idx="69">
                  <c:v>53.078573125406109</c:v>
                </c:pt>
                <c:pt idx="70">
                  <c:v>54.560103339831059</c:v>
                </c:pt>
                <c:pt idx="71">
                  <c:v>56.061938947368425</c:v>
                </c:pt>
                <c:pt idx="72">
                  <c:v>57.5840799480182</c:v>
                </c:pt>
                <c:pt idx="73">
                  <c:v>59.126526341780377</c:v>
                </c:pt>
                <c:pt idx="74">
                  <c:v>60.689278128654976</c:v>
                </c:pt>
                <c:pt idx="75">
                  <c:v>62.272335308641985</c:v>
                </c:pt>
                <c:pt idx="76">
                  <c:v>63.875697881741395</c:v>
                </c:pt>
                <c:pt idx="77">
                  <c:v>65.499365847953229</c:v>
                </c:pt>
                <c:pt idx="78">
                  <c:v>67.14333920727745</c:v>
                </c:pt>
                <c:pt idx="79">
                  <c:v>68.807617959714108</c:v>
                </c:pt>
                <c:pt idx="80">
                  <c:v>70.492202105263175</c:v>
                </c:pt>
                <c:pt idx="81">
                  <c:v>72.197091643924637</c:v>
                </c:pt>
                <c:pt idx="82">
                  <c:v>73.922286575698507</c:v>
                </c:pt>
                <c:pt idx="83">
                  <c:v>75.667786900584801</c:v>
                </c:pt>
                <c:pt idx="84">
                  <c:v>77.433592618583504</c:v>
                </c:pt>
                <c:pt idx="85">
                  <c:v>79.219703729694615</c:v>
                </c:pt>
                <c:pt idx="86">
                  <c:v>81.026120233918121</c:v>
                </c:pt>
                <c:pt idx="87">
                  <c:v>82.85284213125405</c:v>
                </c:pt>
                <c:pt idx="88">
                  <c:v>84.699869421702402</c:v>
                </c:pt>
                <c:pt idx="89">
                  <c:v>86.567202105263164</c:v>
                </c:pt>
                <c:pt idx="90">
                  <c:v>88.454840181936333</c:v>
                </c:pt>
                <c:pt idx="91">
                  <c:v>90.362783651721898</c:v>
                </c:pt>
                <c:pt idx="92">
                  <c:v>92.291032514619886</c:v>
                </c:pt>
                <c:pt idx="93">
                  <c:v>94.239586770630282</c:v>
                </c:pt>
                <c:pt idx="94">
                  <c:v>96.208446419753102</c:v>
                </c:pt>
                <c:pt idx="95">
                  <c:v>98.197611461988302</c:v>
                </c:pt>
                <c:pt idx="96">
                  <c:v>100.20708189733593</c:v>
                </c:pt>
                <c:pt idx="97">
                  <c:v>102.23685772579597</c:v>
                </c:pt>
                <c:pt idx="98">
                  <c:v>104.28693894736844</c:v>
                </c:pt>
                <c:pt idx="99">
                  <c:v>106.3573255620533</c:v>
                </c:pt>
                <c:pt idx="100">
                  <c:v>108.44801756985055</c:v>
                </c:pt>
                <c:pt idx="101">
                  <c:v>110.55901497076024</c:v>
                </c:pt>
                <c:pt idx="102">
                  <c:v>112.69031776478234</c:v>
                </c:pt>
                <c:pt idx="103">
                  <c:v>114.84192595191683</c:v>
                </c:pt>
                <c:pt idx="104">
                  <c:v>117.01383953216373</c:v>
                </c:pt>
                <c:pt idx="105">
                  <c:v>119.20605850552307</c:v>
                </c:pt>
                <c:pt idx="106">
                  <c:v>121.4185828719948</c:v>
                </c:pt>
                <c:pt idx="107">
                  <c:v>123.65141263157895</c:v>
                </c:pt>
                <c:pt idx="108">
                  <c:v>125.90454778427552</c:v>
                </c:pt>
                <c:pt idx="109">
                  <c:v>128.17798833008447</c:v>
                </c:pt>
                <c:pt idx="110">
                  <c:v>130.47173426900585</c:v>
                </c:pt>
                <c:pt idx="111">
                  <c:v>132.78578560103963</c:v>
                </c:pt>
                <c:pt idx="112">
                  <c:v>135.12014232618583</c:v>
                </c:pt>
                <c:pt idx="113">
                  <c:v>137.47480444444443</c:v>
                </c:pt>
                <c:pt idx="114">
                  <c:v>139.84977195581547</c:v>
                </c:pt>
                <c:pt idx="115">
                  <c:v>142.24504486029889</c:v>
                </c:pt>
                <c:pt idx="116">
                  <c:v>144.66062315789475</c:v>
                </c:pt>
                <c:pt idx="117">
                  <c:v>147.09650684860301</c:v>
                </c:pt>
                <c:pt idx="118">
                  <c:v>149.55269593242369</c:v>
                </c:pt>
                <c:pt idx="119">
                  <c:v>152.02919040935677</c:v>
                </c:pt>
                <c:pt idx="120">
                  <c:v>154.52599027940215</c:v>
                </c:pt>
                <c:pt idx="121">
                  <c:v>157.04309554256005</c:v>
                </c:pt>
                <c:pt idx="122">
                  <c:v>159.58050619883036</c:v>
                </c:pt>
                <c:pt idx="123">
                  <c:v>162.13822224821308</c:v>
                </c:pt>
                <c:pt idx="124">
                  <c:v>164.71624369070824</c:v>
                </c:pt>
                <c:pt idx="125">
                  <c:v>167.31457052631578</c:v>
                </c:pt>
                <c:pt idx="126">
                  <c:v>169.93320275503572</c:v>
                </c:pt>
                <c:pt idx="127">
                  <c:v>172.57214037686811</c:v>
                </c:pt>
                <c:pt idx="128">
                  <c:v>175.2313833918129</c:v>
                </c:pt>
                <c:pt idx="129">
                  <c:v>177.91093179986999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04-48DB-AD57-EFF533CC2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831736"/>
        <c:axId val="286832392"/>
      </c:scatterChart>
      <c:valAx>
        <c:axId val="28683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600">
                    <a:solidFill>
                      <a:sysClr val="windowText" lastClr="000000"/>
                    </a:solidFill>
                  </a:rPr>
                  <a:t>UGV</a:t>
                </a:r>
                <a:r>
                  <a:rPr lang="hu-HU" sz="1600" baseline="0">
                    <a:solidFill>
                      <a:sysClr val="windowText" lastClr="000000"/>
                    </a:solidFill>
                  </a:rPr>
                  <a:t> speed [km/h]</a:t>
                </a:r>
                <a:endParaRPr lang="hu-HU" sz="16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286832392"/>
        <c:crosses val="autoZero"/>
        <c:crossBetween val="midCat"/>
      </c:valAx>
      <c:valAx>
        <c:axId val="286832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600">
                    <a:solidFill>
                      <a:sysClr val="windowText" lastClr="000000"/>
                    </a:solidFill>
                  </a:rPr>
                  <a:t>Braking</a:t>
                </a:r>
                <a:r>
                  <a:rPr lang="hu-HU" sz="1600" baseline="0">
                    <a:solidFill>
                      <a:sysClr val="windowText" lastClr="000000"/>
                    </a:solidFill>
                  </a:rPr>
                  <a:t> distane [m]</a:t>
                </a:r>
                <a:endParaRPr lang="hu-HU" sz="16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286831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7</xdr:row>
      <xdr:rowOff>166687</xdr:rowOff>
    </xdr:from>
    <xdr:to>
      <xdr:col>21</xdr:col>
      <xdr:colOff>123825</xdr:colOff>
      <xdr:row>30</xdr:row>
      <xdr:rowOff>9525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25A521DC-E7DE-4401-8E80-EA16757F8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1"/>
  <sheetViews>
    <sheetView tabSelected="1" topLeftCell="G7" zoomScaleNormal="100" workbookViewId="0">
      <selection activeCell="V10" sqref="V10"/>
    </sheetView>
  </sheetViews>
  <sheetFormatPr defaultRowHeight="15" x14ac:dyDescent="0.25"/>
  <cols>
    <col min="1" max="3" width="8.7109375" customWidth="1"/>
    <col min="4" max="4" width="12.7109375" customWidth="1"/>
    <col min="5" max="1025" width="8.71093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3" x14ac:dyDescent="0.25">
      <c r="A2">
        <v>1</v>
      </c>
      <c r="B2">
        <f t="shared" ref="B2:B33" si="0">A2/3.6</f>
        <v>0.27777777777777779</v>
      </c>
      <c r="C2" s="1">
        <f t="shared" ref="C2:C33" si="1">MIN(SQRT((2*B2)/ABS($M$2)),$M$5)</f>
        <v>0.16666666666666669</v>
      </c>
      <c r="D2" s="2">
        <f t="shared" ref="D2:D33" si="2">B2+$M$2*C2^2/2</f>
        <v>0</v>
      </c>
      <c r="E2">
        <f t="shared" ref="E2:E33" si="3">D2/ABS($M$3)</f>
        <v>0</v>
      </c>
      <c r="F2">
        <f t="shared" ref="F2:F33" si="4">B2*$M$4</f>
        <v>0.05</v>
      </c>
      <c r="G2">
        <f t="shared" ref="G2:G33" si="5">B2*C2+$M$2*C2^2/2</f>
        <v>-0.23148148148148154</v>
      </c>
      <c r="H2">
        <f t="shared" ref="H2:H33" si="6">D2*E2+M3*E2^2/2</f>
        <v>0</v>
      </c>
      <c r="I2">
        <f t="shared" ref="I2:I33" si="7">SUM(F2:H2)+1</f>
        <v>0.81851851851851842</v>
      </c>
      <c r="L2" t="s">
        <v>9</v>
      </c>
      <c r="M2" s="2">
        <v>-20</v>
      </c>
    </row>
    <row r="3" spans="1:13" x14ac:dyDescent="0.25">
      <c r="A3">
        <v>2</v>
      </c>
      <c r="B3">
        <f t="shared" si="0"/>
        <v>0.55555555555555558</v>
      </c>
      <c r="C3" s="1">
        <f t="shared" si="1"/>
        <v>0.23570226039551584</v>
      </c>
      <c r="D3" s="2">
        <f t="shared" si="2"/>
        <v>0</v>
      </c>
      <c r="E3">
        <f t="shared" si="3"/>
        <v>0</v>
      </c>
      <c r="F3">
        <f t="shared" si="4"/>
        <v>0.1</v>
      </c>
      <c r="G3">
        <f t="shared" si="5"/>
        <v>-0.42460985533582452</v>
      </c>
      <c r="H3">
        <f t="shared" si="6"/>
        <v>0</v>
      </c>
      <c r="I3">
        <f t="shared" si="7"/>
        <v>0.67539014466417546</v>
      </c>
      <c r="L3" t="s">
        <v>10</v>
      </c>
      <c r="M3" s="2">
        <v>-7.6</v>
      </c>
    </row>
    <row r="4" spans="1:13" x14ac:dyDescent="0.25">
      <c r="A4">
        <v>3</v>
      </c>
      <c r="B4">
        <f t="shared" si="0"/>
        <v>0.83333333333333326</v>
      </c>
      <c r="C4" s="1">
        <f t="shared" si="1"/>
        <v>0.28867513459481287</v>
      </c>
      <c r="D4" s="2">
        <f t="shared" si="2"/>
        <v>0</v>
      </c>
      <c r="E4">
        <f t="shared" si="3"/>
        <v>0</v>
      </c>
      <c r="F4">
        <f t="shared" si="4"/>
        <v>0.15</v>
      </c>
      <c r="G4">
        <f t="shared" si="5"/>
        <v>-0.59277072117098917</v>
      </c>
      <c r="H4">
        <f t="shared" si="6"/>
        <v>0</v>
      </c>
      <c r="I4">
        <f t="shared" si="7"/>
        <v>0.55722927882901085</v>
      </c>
      <c r="L4" t="s">
        <v>11</v>
      </c>
      <c r="M4">
        <v>0.18</v>
      </c>
    </row>
    <row r="5" spans="1:13" x14ac:dyDescent="0.25">
      <c r="A5">
        <v>4</v>
      </c>
      <c r="B5">
        <f t="shared" si="0"/>
        <v>1.1111111111111112</v>
      </c>
      <c r="C5" s="1">
        <f t="shared" si="1"/>
        <v>0.33333333333333337</v>
      </c>
      <c r="D5" s="2">
        <f t="shared" si="2"/>
        <v>0</v>
      </c>
      <c r="E5">
        <f t="shared" si="3"/>
        <v>0</v>
      </c>
      <c r="F5">
        <f t="shared" si="4"/>
        <v>0.2</v>
      </c>
      <c r="G5">
        <f t="shared" si="5"/>
        <v>-0.74074074074074092</v>
      </c>
      <c r="H5">
        <f t="shared" si="6"/>
        <v>0</v>
      </c>
      <c r="I5">
        <f t="shared" si="7"/>
        <v>0.45925925925925903</v>
      </c>
      <c r="L5" t="s">
        <v>12</v>
      </c>
      <c r="M5">
        <f>M3/M2</f>
        <v>0.38</v>
      </c>
    </row>
    <row r="6" spans="1:13" x14ac:dyDescent="0.25">
      <c r="A6">
        <v>5</v>
      </c>
      <c r="B6">
        <f t="shared" si="0"/>
        <v>1.3888888888888888</v>
      </c>
      <c r="C6" s="1">
        <f t="shared" si="1"/>
        <v>0.37267799624996495</v>
      </c>
      <c r="D6" s="2">
        <f t="shared" si="2"/>
        <v>0</v>
      </c>
      <c r="E6">
        <f t="shared" si="3"/>
        <v>0</v>
      </c>
      <c r="F6">
        <f t="shared" si="4"/>
        <v>0.24999999999999997</v>
      </c>
      <c r="G6">
        <f t="shared" si="5"/>
        <v>-0.87128056076393756</v>
      </c>
      <c r="H6">
        <f t="shared" si="6"/>
        <v>0</v>
      </c>
      <c r="I6">
        <f t="shared" si="7"/>
        <v>0.37871943923606244</v>
      </c>
    </row>
    <row r="7" spans="1:13" x14ac:dyDescent="0.25">
      <c r="A7">
        <v>6</v>
      </c>
      <c r="B7">
        <f t="shared" si="0"/>
        <v>1.6666666666666665</v>
      </c>
      <c r="C7" s="1">
        <f t="shared" si="1"/>
        <v>0.38</v>
      </c>
      <c r="D7" s="2">
        <f t="shared" si="2"/>
        <v>0.22266666666666657</v>
      </c>
      <c r="E7">
        <f t="shared" si="3"/>
        <v>2.9298245614035077E-2</v>
      </c>
      <c r="F7">
        <f t="shared" si="4"/>
        <v>0.3</v>
      </c>
      <c r="G7">
        <f t="shared" si="5"/>
        <v>-0.81066666666666665</v>
      </c>
      <c r="H7">
        <f t="shared" si="6"/>
        <v>6.5237426900584738E-3</v>
      </c>
      <c r="I7">
        <f t="shared" si="7"/>
        <v>0.49585707602339191</v>
      </c>
    </row>
    <row r="8" spans="1:13" x14ac:dyDescent="0.25">
      <c r="A8">
        <v>7</v>
      </c>
      <c r="B8">
        <f t="shared" si="0"/>
        <v>1.9444444444444444</v>
      </c>
      <c r="C8" s="1">
        <f t="shared" si="1"/>
        <v>0.38</v>
      </c>
      <c r="D8" s="2">
        <f t="shared" si="2"/>
        <v>0.50044444444444447</v>
      </c>
      <c r="E8">
        <f t="shared" si="3"/>
        <v>6.584795321637428E-2</v>
      </c>
      <c r="F8">
        <f t="shared" si="4"/>
        <v>0.35</v>
      </c>
      <c r="G8">
        <f t="shared" si="5"/>
        <v>-0.70511111111111102</v>
      </c>
      <c r="H8">
        <f t="shared" si="6"/>
        <v>3.2953242365172199E-2</v>
      </c>
      <c r="I8">
        <f t="shared" si="7"/>
        <v>0.67784213125406123</v>
      </c>
    </row>
    <row r="9" spans="1:13" x14ac:dyDescent="0.25">
      <c r="A9">
        <v>8</v>
      </c>
      <c r="B9">
        <f t="shared" si="0"/>
        <v>2.2222222222222223</v>
      </c>
      <c r="C9" s="1">
        <f t="shared" si="1"/>
        <v>0.38</v>
      </c>
      <c r="D9" s="2">
        <f t="shared" si="2"/>
        <v>0.77822222222222237</v>
      </c>
      <c r="E9">
        <f t="shared" si="3"/>
        <v>0.10239766081871347</v>
      </c>
      <c r="F9">
        <f t="shared" si="4"/>
        <v>0.4</v>
      </c>
      <c r="G9">
        <f t="shared" si="5"/>
        <v>-0.59955555555555551</v>
      </c>
      <c r="H9">
        <f t="shared" si="6"/>
        <v>7.9688135152696585E-2</v>
      </c>
      <c r="I9">
        <f t="shared" si="7"/>
        <v>0.88013257959714108</v>
      </c>
    </row>
    <row r="10" spans="1:13" x14ac:dyDescent="0.25">
      <c r="A10">
        <v>9</v>
      </c>
      <c r="B10">
        <f t="shared" si="0"/>
        <v>2.5</v>
      </c>
      <c r="C10" s="1">
        <f t="shared" si="1"/>
        <v>0.38</v>
      </c>
      <c r="D10" s="2">
        <f t="shared" si="2"/>
        <v>1.056</v>
      </c>
      <c r="E10">
        <f t="shared" si="3"/>
        <v>0.13894736842105265</v>
      </c>
      <c r="F10">
        <f t="shared" si="4"/>
        <v>0.44999999999999996</v>
      </c>
      <c r="G10">
        <f t="shared" si="5"/>
        <v>-0.49399999999999999</v>
      </c>
      <c r="H10">
        <f t="shared" si="6"/>
        <v>0.14672842105263162</v>
      </c>
      <c r="I10">
        <f t="shared" si="7"/>
        <v>1.1027284210526316</v>
      </c>
    </row>
    <row r="11" spans="1:13" x14ac:dyDescent="0.25">
      <c r="A11">
        <v>10</v>
      </c>
      <c r="B11">
        <f t="shared" si="0"/>
        <v>2.7777777777777777</v>
      </c>
      <c r="C11" s="1">
        <f t="shared" si="1"/>
        <v>0.38</v>
      </c>
      <c r="D11" s="2">
        <f t="shared" si="2"/>
        <v>1.3337777777777777</v>
      </c>
      <c r="E11">
        <f t="shared" si="3"/>
        <v>0.17549707602339182</v>
      </c>
      <c r="F11">
        <f t="shared" si="4"/>
        <v>0.49999999999999994</v>
      </c>
      <c r="G11">
        <f t="shared" si="5"/>
        <v>-0.38844444444444437</v>
      </c>
      <c r="H11">
        <f t="shared" si="6"/>
        <v>0.23407410006497725</v>
      </c>
      <c r="I11">
        <f t="shared" si="7"/>
        <v>1.3456296556205327</v>
      </c>
    </row>
    <row r="12" spans="1:13" x14ac:dyDescent="0.25">
      <c r="A12">
        <v>11</v>
      </c>
      <c r="B12">
        <f t="shared" si="0"/>
        <v>3.0555555555555554</v>
      </c>
      <c r="C12" s="1">
        <f t="shared" si="1"/>
        <v>0.38</v>
      </c>
      <c r="D12" s="2">
        <f t="shared" si="2"/>
        <v>1.6115555555555554</v>
      </c>
      <c r="E12">
        <f t="shared" si="3"/>
        <v>0.21204678362573098</v>
      </c>
      <c r="F12">
        <f t="shared" si="4"/>
        <v>0.54999999999999993</v>
      </c>
      <c r="G12">
        <f t="shared" si="5"/>
        <v>-0.28288888888888897</v>
      </c>
      <c r="H12">
        <f t="shared" si="6"/>
        <v>0.34172517218973353</v>
      </c>
      <c r="I12">
        <f t="shared" si="7"/>
        <v>1.6088362833008445</v>
      </c>
    </row>
    <row r="13" spans="1:13" x14ac:dyDescent="0.25">
      <c r="A13">
        <v>12</v>
      </c>
      <c r="B13">
        <f t="shared" si="0"/>
        <v>3.333333333333333</v>
      </c>
      <c r="C13" s="1">
        <f t="shared" si="1"/>
        <v>0.38</v>
      </c>
      <c r="D13" s="2">
        <f t="shared" si="2"/>
        <v>1.8893333333333331</v>
      </c>
      <c r="E13">
        <f t="shared" si="3"/>
        <v>0.24859649122807015</v>
      </c>
      <c r="F13">
        <f t="shared" si="4"/>
        <v>0.6</v>
      </c>
      <c r="G13">
        <f t="shared" si="5"/>
        <v>-0.17733333333333334</v>
      </c>
      <c r="H13">
        <f t="shared" si="6"/>
        <v>0.4696816374269005</v>
      </c>
      <c r="I13">
        <f t="shared" si="7"/>
        <v>1.8923483040935671</v>
      </c>
    </row>
    <row r="14" spans="1:13" x14ac:dyDescent="0.25">
      <c r="A14">
        <v>13</v>
      </c>
      <c r="B14">
        <f t="shared" si="0"/>
        <v>3.6111111111111112</v>
      </c>
      <c r="C14" s="1">
        <f t="shared" si="1"/>
        <v>0.38</v>
      </c>
      <c r="D14" s="2">
        <f t="shared" si="2"/>
        <v>2.1671111111111112</v>
      </c>
      <c r="E14">
        <f t="shared" si="3"/>
        <v>0.28514619883040937</v>
      </c>
      <c r="F14">
        <f t="shared" si="4"/>
        <v>0.65</v>
      </c>
      <c r="G14">
        <f t="shared" si="5"/>
        <v>-7.1777777777777718E-2</v>
      </c>
      <c r="H14">
        <f t="shared" si="6"/>
        <v>0.61794349577647834</v>
      </c>
      <c r="I14">
        <f t="shared" si="7"/>
        <v>2.1961657179987006</v>
      </c>
    </row>
    <row r="15" spans="1:13" x14ac:dyDescent="0.25">
      <c r="A15">
        <v>14</v>
      </c>
      <c r="B15">
        <f t="shared" si="0"/>
        <v>3.8888888888888888</v>
      </c>
      <c r="C15" s="1">
        <f t="shared" si="1"/>
        <v>0.38</v>
      </c>
      <c r="D15" s="2">
        <f t="shared" si="2"/>
        <v>2.4448888888888889</v>
      </c>
      <c r="E15">
        <f t="shared" si="3"/>
        <v>0.32169590643274854</v>
      </c>
      <c r="F15">
        <f t="shared" si="4"/>
        <v>0.7</v>
      </c>
      <c r="G15">
        <f t="shared" si="5"/>
        <v>3.3777777777777906E-2</v>
      </c>
      <c r="H15">
        <f t="shared" si="6"/>
        <v>0.78651074723846648</v>
      </c>
      <c r="I15">
        <f t="shared" si="7"/>
        <v>2.5202885250162446</v>
      </c>
    </row>
    <row r="16" spans="1:13" x14ac:dyDescent="0.25">
      <c r="A16">
        <v>15</v>
      </c>
      <c r="B16">
        <f t="shared" si="0"/>
        <v>4.166666666666667</v>
      </c>
      <c r="C16" s="1">
        <f t="shared" si="1"/>
        <v>0.38</v>
      </c>
      <c r="D16" s="2">
        <f t="shared" si="2"/>
        <v>2.722666666666667</v>
      </c>
      <c r="E16">
        <f t="shared" si="3"/>
        <v>0.35824561403508776</v>
      </c>
      <c r="F16">
        <f t="shared" si="4"/>
        <v>0.75</v>
      </c>
      <c r="G16">
        <f t="shared" si="5"/>
        <v>0.13933333333333353</v>
      </c>
      <c r="H16">
        <f t="shared" si="6"/>
        <v>0.97538339181286571</v>
      </c>
      <c r="I16">
        <f t="shared" si="7"/>
        <v>2.8647167251461991</v>
      </c>
    </row>
    <row r="17" spans="1:9" x14ac:dyDescent="0.25">
      <c r="A17">
        <v>16</v>
      </c>
      <c r="B17">
        <f t="shared" si="0"/>
        <v>4.4444444444444446</v>
      </c>
      <c r="C17" s="1">
        <f t="shared" si="1"/>
        <v>0.38</v>
      </c>
      <c r="D17" s="2">
        <f t="shared" si="2"/>
        <v>3.0004444444444447</v>
      </c>
      <c r="E17">
        <f t="shared" si="3"/>
        <v>0.39479532163742698</v>
      </c>
      <c r="F17">
        <f t="shared" si="4"/>
        <v>0.8</v>
      </c>
      <c r="G17">
        <f t="shared" si="5"/>
        <v>0.24488888888888893</v>
      </c>
      <c r="H17">
        <f t="shared" si="6"/>
        <v>1.1845614294996754</v>
      </c>
      <c r="I17">
        <f t="shared" si="7"/>
        <v>3.2294503183885643</v>
      </c>
    </row>
    <row r="18" spans="1:9" x14ac:dyDescent="0.25">
      <c r="A18">
        <v>17</v>
      </c>
      <c r="B18">
        <f t="shared" si="0"/>
        <v>4.7222222222222223</v>
      </c>
      <c r="C18" s="1">
        <f t="shared" si="1"/>
        <v>0.38</v>
      </c>
      <c r="D18" s="2">
        <f t="shared" si="2"/>
        <v>3.2782222222222224</v>
      </c>
      <c r="E18">
        <f t="shared" si="3"/>
        <v>0.43134502923976614</v>
      </c>
      <c r="F18">
        <f t="shared" si="4"/>
        <v>0.85</v>
      </c>
      <c r="G18">
        <f t="shared" si="5"/>
        <v>0.35044444444444456</v>
      </c>
      <c r="H18">
        <f t="shared" si="6"/>
        <v>1.4140448602988958</v>
      </c>
      <c r="I18">
        <f t="shared" si="7"/>
        <v>3.6144893047433402</v>
      </c>
    </row>
    <row r="19" spans="1:9" x14ac:dyDescent="0.25">
      <c r="A19">
        <v>18</v>
      </c>
      <c r="B19">
        <f t="shared" si="0"/>
        <v>5</v>
      </c>
      <c r="C19" s="1">
        <f t="shared" si="1"/>
        <v>0.38</v>
      </c>
      <c r="D19" s="2">
        <f t="shared" si="2"/>
        <v>3.556</v>
      </c>
      <c r="E19">
        <f t="shared" si="3"/>
        <v>0.46789473684210531</v>
      </c>
      <c r="F19">
        <f t="shared" si="4"/>
        <v>0.89999999999999991</v>
      </c>
      <c r="G19">
        <f t="shared" si="5"/>
        <v>0.45599999999999996</v>
      </c>
      <c r="H19">
        <f t="shared" si="6"/>
        <v>1.6638336842105266</v>
      </c>
      <c r="I19">
        <f t="shared" si="7"/>
        <v>4.0198336842105267</v>
      </c>
    </row>
    <row r="20" spans="1:9" x14ac:dyDescent="0.25">
      <c r="A20">
        <v>19</v>
      </c>
      <c r="B20">
        <f t="shared" si="0"/>
        <v>5.2777777777777777</v>
      </c>
      <c r="C20" s="1">
        <f t="shared" si="1"/>
        <v>0.38</v>
      </c>
      <c r="D20" s="2">
        <f t="shared" si="2"/>
        <v>3.8337777777777777</v>
      </c>
      <c r="E20">
        <f t="shared" si="3"/>
        <v>0.50444444444444447</v>
      </c>
      <c r="F20">
        <f t="shared" si="4"/>
        <v>0.95</v>
      </c>
      <c r="G20">
        <f t="shared" si="5"/>
        <v>0.56155555555555559</v>
      </c>
      <c r="H20">
        <f t="shared" si="6"/>
        <v>1.933927901234568</v>
      </c>
      <c r="I20">
        <f t="shared" si="7"/>
        <v>4.4454834567901234</v>
      </c>
    </row>
    <row r="21" spans="1:9" x14ac:dyDescent="0.25">
      <c r="A21">
        <v>20</v>
      </c>
      <c r="B21">
        <f t="shared" si="0"/>
        <v>5.5555555555555554</v>
      </c>
      <c r="C21" s="1">
        <f t="shared" si="1"/>
        <v>0.38</v>
      </c>
      <c r="D21" s="2">
        <f t="shared" si="2"/>
        <v>4.1115555555555554</v>
      </c>
      <c r="E21">
        <f t="shared" si="3"/>
        <v>0.54099415204678358</v>
      </c>
      <c r="F21">
        <f t="shared" si="4"/>
        <v>0.99999999999999989</v>
      </c>
      <c r="G21">
        <f t="shared" si="5"/>
        <v>0.66711111111111121</v>
      </c>
      <c r="H21">
        <f t="shared" si="6"/>
        <v>2.2243275113710199</v>
      </c>
      <c r="I21">
        <f t="shared" si="7"/>
        <v>4.8914386224821307</v>
      </c>
    </row>
    <row r="22" spans="1:9" x14ac:dyDescent="0.25">
      <c r="A22">
        <v>21</v>
      </c>
      <c r="B22">
        <f t="shared" si="0"/>
        <v>5.833333333333333</v>
      </c>
      <c r="C22" s="1">
        <f t="shared" si="1"/>
        <v>0.38</v>
      </c>
      <c r="D22" s="2">
        <f t="shared" si="2"/>
        <v>4.3893333333333331</v>
      </c>
      <c r="E22">
        <f t="shared" si="3"/>
        <v>0.5775438596491228</v>
      </c>
      <c r="F22">
        <f t="shared" si="4"/>
        <v>1.0499999999999998</v>
      </c>
      <c r="G22">
        <f t="shared" si="5"/>
        <v>0.77266666666666683</v>
      </c>
      <c r="H22">
        <f t="shared" si="6"/>
        <v>2.5350325146198829</v>
      </c>
      <c r="I22">
        <f t="shared" si="7"/>
        <v>5.3576991812865495</v>
      </c>
    </row>
    <row r="23" spans="1:9" x14ac:dyDescent="0.25">
      <c r="A23">
        <v>22</v>
      </c>
      <c r="B23">
        <f t="shared" si="0"/>
        <v>6.1111111111111107</v>
      </c>
      <c r="C23" s="1">
        <f t="shared" si="1"/>
        <v>0.38</v>
      </c>
      <c r="D23" s="2">
        <f t="shared" si="2"/>
        <v>4.6671111111111108</v>
      </c>
      <c r="E23">
        <f t="shared" si="3"/>
        <v>0.61409356725146202</v>
      </c>
      <c r="F23">
        <f t="shared" si="4"/>
        <v>1.0999999999999999</v>
      </c>
      <c r="G23">
        <f t="shared" si="5"/>
        <v>0.87822222222222202</v>
      </c>
      <c r="H23">
        <f t="shared" si="6"/>
        <v>2.8660429109811565</v>
      </c>
      <c r="I23">
        <f t="shared" si="7"/>
        <v>5.8442651332033781</v>
      </c>
    </row>
    <row r="24" spans="1:9" x14ac:dyDescent="0.25">
      <c r="A24">
        <v>23</v>
      </c>
      <c r="B24">
        <f t="shared" si="0"/>
        <v>6.3888888888888884</v>
      </c>
      <c r="C24" s="1">
        <f t="shared" si="1"/>
        <v>0.38</v>
      </c>
      <c r="D24" s="2">
        <f t="shared" si="2"/>
        <v>4.9448888888888884</v>
      </c>
      <c r="E24">
        <f t="shared" si="3"/>
        <v>0.65064327485380113</v>
      </c>
      <c r="F24">
        <f t="shared" si="4"/>
        <v>1.1499999999999999</v>
      </c>
      <c r="G24">
        <f t="shared" si="5"/>
        <v>0.98377777777777764</v>
      </c>
      <c r="H24">
        <f t="shared" si="6"/>
        <v>3.2173587004548403</v>
      </c>
      <c r="I24">
        <f t="shared" si="7"/>
        <v>6.3511364782326183</v>
      </c>
    </row>
    <row r="25" spans="1:9" x14ac:dyDescent="0.25">
      <c r="A25">
        <v>24</v>
      </c>
      <c r="B25">
        <f t="shared" si="0"/>
        <v>6.6666666666666661</v>
      </c>
      <c r="C25" s="1">
        <f t="shared" si="1"/>
        <v>0.38</v>
      </c>
      <c r="D25" s="2">
        <f t="shared" si="2"/>
        <v>5.2226666666666661</v>
      </c>
      <c r="E25">
        <f t="shared" si="3"/>
        <v>0.68719298245614036</v>
      </c>
      <c r="F25">
        <f t="shared" si="4"/>
        <v>1.2</v>
      </c>
      <c r="G25">
        <f t="shared" si="5"/>
        <v>1.0893333333333333</v>
      </c>
      <c r="H25">
        <f t="shared" si="6"/>
        <v>3.5889798830409352</v>
      </c>
      <c r="I25">
        <f t="shared" si="7"/>
        <v>6.8783132163742682</v>
      </c>
    </row>
    <row r="26" spans="1:9" x14ac:dyDescent="0.25">
      <c r="A26">
        <v>25</v>
      </c>
      <c r="B26">
        <f t="shared" si="0"/>
        <v>6.9444444444444446</v>
      </c>
      <c r="C26" s="1">
        <f t="shared" si="1"/>
        <v>0.38</v>
      </c>
      <c r="D26" s="2">
        <f t="shared" si="2"/>
        <v>5.5004444444444447</v>
      </c>
      <c r="E26">
        <f t="shared" si="3"/>
        <v>0.72374269005847958</v>
      </c>
      <c r="F26">
        <f t="shared" si="4"/>
        <v>1.25</v>
      </c>
      <c r="G26">
        <f t="shared" si="5"/>
        <v>1.1948888888888889</v>
      </c>
      <c r="H26">
        <f t="shared" si="6"/>
        <v>3.9809064587394416</v>
      </c>
      <c r="I26">
        <f t="shared" si="7"/>
        <v>7.4257953476283305</v>
      </c>
    </row>
    <row r="27" spans="1:9" x14ac:dyDescent="0.25">
      <c r="A27">
        <v>26</v>
      </c>
      <c r="B27">
        <f t="shared" si="0"/>
        <v>7.2222222222222223</v>
      </c>
      <c r="C27" s="1">
        <f t="shared" si="1"/>
        <v>0.38</v>
      </c>
      <c r="D27" s="2">
        <f t="shared" si="2"/>
        <v>5.7782222222222224</v>
      </c>
      <c r="E27">
        <f t="shared" si="3"/>
        <v>0.7602923976608188</v>
      </c>
      <c r="F27">
        <f t="shared" si="4"/>
        <v>1.3</v>
      </c>
      <c r="G27">
        <f t="shared" si="5"/>
        <v>1.3004444444444445</v>
      </c>
      <c r="H27">
        <f t="shared" si="6"/>
        <v>4.3931384275503582</v>
      </c>
      <c r="I27">
        <f t="shared" si="7"/>
        <v>7.9935828719948026</v>
      </c>
    </row>
    <row r="28" spans="1:9" x14ac:dyDescent="0.25">
      <c r="A28">
        <v>27</v>
      </c>
      <c r="B28">
        <f t="shared" si="0"/>
        <v>7.5</v>
      </c>
      <c r="C28" s="1">
        <f t="shared" si="1"/>
        <v>0.38</v>
      </c>
      <c r="D28" s="2">
        <f t="shared" si="2"/>
        <v>6.056</v>
      </c>
      <c r="E28">
        <f t="shared" si="3"/>
        <v>0.79684210526315791</v>
      </c>
      <c r="F28">
        <f t="shared" si="4"/>
        <v>1.3499999999999999</v>
      </c>
      <c r="G28">
        <f t="shared" si="5"/>
        <v>1.4060000000000001</v>
      </c>
      <c r="H28">
        <f t="shared" si="6"/>
        <v>4.8256757894736841</v>
      </c>
      <c r="I28">
        <f t="shared" si="7"/>
        <v>8.5816757894736853</v>
      </c>
    </row>
    <row r="29" spans="1:9" x14ac:dyDescent="0.25">
      <c r="A29">
        <v>28</v>
      </c>
      <c r="B29">
        <f t="shared" si="0"/>
        <v>7.7777777777777777</v>
      </c>
      <c r="C29" s="1">
        <f t="shared" si="1"/>
        <v>0.38</v>
      </c>
      <c r="D29" s="2">
        <f t="shared" si="2"/>
        <v>6.3337777777777777</v>
      </c>
      <c r="E29">
        <f t="shared" si="3"/>
        <v>0.83339181286549713</v>
      </c>
      <c r="F29">
        <f t="shared" si="4"/>
        <v>1.4</v>
      </c>
      <c r="G29">
        <f t="shared" si="5"/>
        <v>1.5115555555555558</v>
      </c>
      <c r="H29">
        <f t="shared" si="6"/>
        <v>5.2785185445094216</v>
      </c>
      <c r="I29">
        <f t="shared" si="7"/>
        <v>9.1900741000649777</v>
      </c>
    </row>
    <row r="30" spans="1:9" x14ac:dyDescent="0.25">
      <c r="A30">
        <v>29</v>
      </c>
      <c r="B30">
        <f t="shared" si="0"/>
        <v>8.0555555555555554</v>
      </c>
      <c r="C30" s="1">
        <f t="shared" si="1"/>
        <v>0.38</v>
      </c>
      <c r="D30" s="2">
        <f t="shared" si="2"/>
        <v>6.6115555555555554</v>
      </c>
      <c r="E30">
        <f t="shared" si="3"/>
        <v>0.86994152046783624</v>
      </c>
      <c r="F30">
        <f t="shared" si="4"/>
        <v>1.45</v>
      </c>
      <c r="G30">
        <f t="shared" si="5"/>
        <v>1.6171111111111109</v>
      </c>
      <c r="H30">
        <f t="shared" si="6"/>
        <v>5.7516666926575697</v>
      </c>
      <c r="I30">
        <f t="shared" si="7"/>
        <v>9.8187778037686808</v>
      </c>
    </row>
    <row r="31" spans="1:9" x14ac:dyDescent="0.25">
      <c r="A31">
        <v>30</v>
      </c>
      <c r="B31">
        <f t="shared" si="0"/>
        <v>8.3333333333333339</v>
      </c>
      <c r="C31" s="1">
        <f t="shared" si="1"/>
        <v>0.38</v>
      </c>
      <c r="D31" s="2">
        <f t="shared" si="2"/>
        <v>6.889333333333334</v>
      </c>
      <c r="E31">
        <f t="shared" si="3"/>
        <v>0.90649122807017557</v>
      </c>
      <c r="F31">
        <f t="shared" si="4"/>
        <v>1.5</v>
      </c>
      <c r="G31">
        <f t="shared" si="5"/>
        <v>1.722666666666667</v>
      </c>
      <c r="H31">
        <f t="shared" si="6"/>
        <v>6.2451202339181302</v>
      </c>
      <c r="I31">
        <f t="shared" si="7"/>
        <v>10.467786900584798</v>
      </c>
    </row>
    <row r="32" spans="1:9" x14ac:dyDescent="0.25">
      <c r="A32">
        <v>31</v>
      </c>
      <c r="B32">
        <f t="shared" si="0"/>
        <v>8.6111111111111107</v>
      </c>
      <c r="C32" s="1">
        <f t="shared" si="1"/>
        <v>0.38</v>
      </c>
      <c r="D32" s="2">
        <f t="shared" si="2"/>
        <v>7.1671111111111108</v>
      </c>
      <c r="E32">
        <f t="shared" si="3"/>
        <v>0.94304093567251457</v>
      </c>
      <c r="F32">
        <f t="shared" si="4"/>
        <v>1.5499999999999998</v>
      </c>
      <c r="G32">
        <f t="shared" si="5"/>
        <v>1.8282222222222222</v>
      </c>
      <c r="H32">
        <f t="shared" si="6"/>
        <v>6.7588791682910978</v>
      </c>
      <c r="I32">
        <f t="shared" si="7"/>
        <v>11.137101390513319</v>
      </c>
    </row>
    <row r="33" spans="1:9" x14ac:dyDescent="0.25">
      <c r="A33">
        <v>32</v>
      </c>
      <c r="B33">
        <f t="shared" si="0"/>
        <v>8.8888888888888893</v>
      </c>
      <c r="C33" s="1">
        <f t="shared" si="1"/>
        <v>0.38</v>
      </c>
      <c r="D33" s="2">
        <f t="shared" si="2"/>
        <v>7.4448888888888893</v>
      </c>
      <c r="E33">
        <f t="shared" si="3"/>
        <v>0.9795906432748539</v>
      </c>
      <c r="F33">
        <f t="shared" si="4"/>
        <v>1.6</v>
      </c>
      <c r="G33">
        <f t="shared" si="5"/>
        <v>1.9337777777777778</v>
      </c>
      <c r="H33">
        <f t="shared" si="6"/>
        <v>7.2929434957764796</v>
      </c>
      <c r="I33">
        <f t="shared" si="7"/>
        <v>11.826721273554258</v>
      </c>
    </row>
    <row r="34" spans="1:9" x14ac:dyDescent="0.25">
      <c r="A34">
        <v>33</v>
      </c>
      <c r="B34">
        <f t="shared" ref="B34:B65" si="8">A34/3.6</f>
        <v>9.1666666666666661</v>
      </c>
      <c r="C34" s="1">
        <f t="shared" ref="C34:C65" si="9">MIN(SQRT((2*B34)/ABS($M$2)),$M$5)</f>
        <v>0.38</v>
      </c>
      <c r="D34" s="2">
        <f t="shared" ref="D34:D65" si="10">B34+$M$2*C34^2/2</f>
        <v>7.7226666666666661</v>
      </c>
      <c r="E34">
        <f t="shared" ref="E34:E65" si="11">D34/ABS($M$3)</f>
        <v>1.0161403508771929</v>
      </c>
      <c r="F34">
        <f t="shared" ref="F34:F65" si="12">B34*$M$4</f>
        <v>1.65</v>
      </c>
      <c r="G34">
        <f t="shared" ref="G34:G65" si="13">B34*C34+$M$2*C34^2/2</f>
        <v>2.039333333333333</v>
      </c>
      <c r="H34">
        <f t="shared" ref="H34:H65" si="14">D34*E34+M35*E34^2/2</f>
        <v>7.8473132163742676</v>
      </c>
      <c r="I34">
        <f t="shared" ref="I34:I65" si="15">SUM(F34:H34)+1</f>
        <v>12.536646549707601</v>
      </c>
    </row>
    <row r="35" spans="1:9" x14ac:dyDescent="0.25">
      <c r="A35">
        <v>34</v>
      </c>
      <c r="B35">
        <f t="shared" si="8"/>
        <v>9.4444444444444446</v>
      </c>
      <c r="C35" s="1">
        <f t="shared" si="9"/>
        <v>0.38</v>
      </c>
      <c r="D35" s="2">
        <f t="shared" si="10"/>
        <v>8.0004444444444438</v>
      </c>
      <c r="E35">
        <f t="shared" si="11"/>
        <v>1.0526900584795322</v>
      </c>
      <c r="F35">
        <f t="shared" si="12"/>
        <v>1.7</v>
      </c>
      <c r="G35">
        <f t="shared" si="13"/>
        <v>2.1448888888888891</v>
      </c>
      <c r="H35">
        <f t="shared" si="14"/>
        <v>8.4219883300844707</v>
      </c>
      <c r="I35">
        <f t="shared" si="15"/>
        <v>13.266877218973359</v>
      </c>
    </row>
    <row r="36" spans="1:9" x14ac:dyDescent="0.25">
      <c r="A36">
        <v>35</v>
      </c>
      <c r="B36">
        <f t="shared" si="8"/>
        <v>9.7222222222222214</v>
      </c>
      <c r="C36" s="1">
        <f t="shared" si="9"/>
        <v>0.38</v>
      </c>
      <c r="D36" s="2">
        <f t="shared" si="10"/>
        <v>8.2782222222222224</v>
      </c>
      <c r="E36">
        <f t="shared" si="11"/>
        <v>1.0892397660818713</v>
      </c>
      <c r="F36">
        <f t="shared" si="12"/>
        <v>1.7499999999999998</v>
      </c>
      <c r="G36">
        <f t="shared" si="13"/>
        <v>2.2504444444444442</v>
      </c>
      <c r="H36">
        <f t="shared" si="14"/>
        <v>9.0169688369070826</v>
      </c>
      <c r="I36">
        <f t="shared" si="15"/>
        <v>14.017413281351526</v>
      </c>
    </row>
    <row r="37" spans="1:9" x14ac:dyDescent="0.25">
      <c r="A37">
        <v>36</v>
      </c>
      <c r="B37">
        <f t="shared" si="8"/>
        <v>10</v>
      </c>
      <c r="C37" s="1">
        <f t="shared" si="9"/>
        <v>0.38</v>
      </c>
      <c r="D37" s="2">
        <f t="shared" si="10"/>
        <v>8.5560000000000009</v>
      </c>
      <c r="E37">
        <f t="shared" si="11"/>
        <v>1.1257894736842107</v>
      </c>
      <c r="F37">
        <f t="shared" si="12"/>
        <v>1.7999999999999998</v>
      </c>
      <c r="G37">
        <f t="shared" si="13"/>
        <v>2.3559999999999999</v>
      </c>
      <c r="H37">
        <f t="shared" si="14"/>
        <v>9.632254736842107</v>
      </c>
      <c r="I37">
        <f t="shared" si="15"/>
        <v>14.788254736842106</v>
      </c>
    </row>
    <row r="38" spans="1:9" x14ac:dyDescent="0.25">
      <c r="A38">
        <v>37</v>
      </c>
      <c r="B38">
        <f t="shared" si="8"/>
        <v>10.277777777777777</v>
      </c>
      <c r="C38" s="1">
        <f t="shared" si="9"/>
        <v>0.38</v>
      </c>
      <c r="D38" s="2">
        <f t="shared" si="10"/>
        <v>8.833777777777776</v>
      </c>
      <c r="E38">
        <f t="shared" si="11"/>
        <v>1.1623391812865496</v>
      </c>
      <c r="F38">
        <f t="shared" si="12"/>
        <v>1.8499999999999996</v>
      </c>
      <c r="G38">
        <f t="shared" si="13"/>
        <v>2.4615555555555555</v>
      </c>
      <c r="H38">
        <f t="shared" si="14"/>
        <v>10.267846029889535</v>
      </c>
      <c r="I38">
        <f t="shared" si="15"/>
        <v>15.57940158544509</v>
      </c>
    </row>
    <row r="39" spans="1:9" x14ac:dyDescent="0.25">
      <c r="A39">
        <v>38</v>
      </c>
      <c r="B39">
        <f t="shared" si="8"/>
        <v>10.555555555555555</v>
      </c>
      <c r="C39" s="1">
        <f t="shared" si="9"/>
        <v>0.38</v>
      </c>
      <c r="D39" s="2">
        <f t="shared" si="10"/>
        <v>9.1115555555555545</v>
      </c>
      <c r="E39">
        <f t="shared" si="11"/>
        <v>1.1988888888888889</v>
      </c>
      <c r="F39">
        <f t="shared" si="12"/>
        <v>1.9</v>
      </c>
      <c r="G39">
        <f t="shared" si="13"/>
        <v>2.5671111111111111</v>
      </c>
      <c r="H39">
        <f t="shared" si="14"/>
        <v>10.923742716049382</v>
      </c>
      <c r="I39">
        <f t="shared" si="15"/>
        <v>16.390853827160491</v>
      </c>
    </row>
    <row r="40" spans="1:9" x14ac:dyDescent="0.25">
      <c r="A40">
        <v>39</v>
      </c>
      <c r="B40">
        <f t="shared" si="8"/>
        <v>10.833333333333334</v>
      </c>
      <c r="C40" s="1">
        <f t="shared" si="9"/>
        <v>0.38</v>
      </c>
      <c r="D40" s="2">
        <f t="shared" si="10"/>
        <v>9.3893333333333331</v>
      </c>
      <c r="E40">
        <f t="shared" si="11"/>
        <v>1.235438596491228</v>
      </c>
      <c r="F40">
        <f t="shared" si="12"/>
        <v>1.95</v>
      </c>
      <c r="G40">
        <f t="shared" si="13"/>
        <v>2.6726666666666672</v>
      </c>
      <c r="H40">
        <f t="shared" si="14"/>
        <v>11.599944795321637</v>
      </c>
      <c r="I40">
        <f t="shared" si="15"/>
        <v>17.222611461988304</v>
      </c>
    </row>
    <row r="41" spans="1:9" x14ac:dyDescent="0.25">
      <c r="A41">
        <v>40</v>
      </c>
      <c r="B41">
        <f t="shared" si="8"/>
        <v>11.111111111111111</v>
      </c>
      <c r="C41" s="1">
        <f t="shared" si="9"/>
        <v>0.38</v>
      </c>
      <c r="D41" s="2">
        <f t="shared" si="10"/>
        <v>9.6671111111111117</v>
      </c>
      <c r="E41">
        <f t="shared" si="11"/>
        <v>1.2719883040935673</v>
      </c>
      <c r="F41">
        <f t="shared" si="12"/>
        <v>1.9999999999999998</v>
      </c>
      <c r="G41">
        <f t="shared" si="13"/>
        <v>2.7782222222222224</v>
      </c>
      <c r="H41">
        <f t="shared" si="14"/>
        <v>12.296452267706304</v>
      </c>
      <c r="I41">
        <f t="shared" si="15"/>
        <v>18.074674489928526</v>
      </c>
    </row>
    <row r="42" spans="1:9" x14ac:dyDescent="0.25">
      <c r="A42">
        <v>41</v>
      </c>
      <c r="B42">
        <f t="shared" si="8"/>
        <v>11.388888888888889</v>
      </c>
      <c r="C42" s="1">
        <f t="shared" si="9"/>
        <v>0.38</v>
      </c>
      <c r="D42" s="2">
        <f t="shared" si="10"/>
        <v>9.9448888888888902</v>
      </c>
      <c r="E42">
        <f t="shared" si="11"/>
        <v>1.3085380116959067</v>
      </c>
      <c r="F42">
        <f t="shared" si="12"/>
        <v>2.0499999999999998</v>
      </c>
      <c r="G42">
        <f t="shared" si="13"/>
        <v>2.8837777777777784</v>
      </c>
      <c r="H42">
        <f t="shared" si="14"/>
        <v>13.013265133203383</v>
      </c>
      <c r="I42">
        <f t="shared" si="15"/>
        <v>18.94704291098116</v>
      </c>
    </row>
    <row r="43" spans="1:9" x14ac:dyDescent="0.25">
      <c r="A43">
        <v>42</v>
      </c>
      <c r="B43">
        <f t="shared" si="8"/>
        <v>11.666666666666666</v>
      </c>
      <c r="C43" s="1">
        <f t="shared" si="9"/>
        <v>0.38</v>
      </c>
      <c r="D43" s="2">
        <f t="shared" si="10"/>
        <v>10.222666666666665</v>
      </c>
      <c r="E43">
        <f t="shared" si="11"/>
        <v>1.3450877192982456</v>
      </c>
      <c r="F43">
        <f t="shared" si="12"/>
        <v>2.0999999999999996</v>
      </c>
      <c r="G43">
        <f t="shared" si="13"/>
        <v>2.9893333333333336</v>
      </c>
      <c r="H43">
        <f t="shared" si="14"/>
        <v>13.750383391812862</v>
      </c>
      <c r="I43">
        <f t="shared" si="15"/>
        <v>19.839716725146197</v>
      </c>
    </row>
    <row r="44" spans="1:9" x14ac:dyDescent="0.25">
      <c r="A44">
        <v>43</v>
      </c>
      <c r="B44">
        <f t="shared" si="8"/>
        <v>11.944444444444445</v>
      </c>
      <c r="C44" s="1">
        <f t="shared" si="9"/>
        <v>0.38</v>
      </c>
      <c r="D44" s="2">
        <f t="shared" si="10"/>
        <v>10.500444444444444</v>
      </c>
      <c r="E44">
        <f t="shared" si="11"/>
        <v>1.3816374269005849</v>
      </c>
      <c r="F44">
        <f t="shared" si="12"/>
        <v>2.15</v>
      </c>
      <c r="G44">
        <f t="shared" si="13"/>
        <v>3.0948888888888888</v>
      </c>
      <c r="H44">
        <f t="shared" si="14"/>
        <v>14.507807043534763</v>
      </c>
      <c r="I44">
        <f t="shared" si="15"/>
        <v>20.752695932423652</v>
      </c>
    </row>
    <row r="45" spans="1:9" x14ac:dyDescent="0.25">
      <c r="A45">
        <v>44</v>
      </c>
      <c r="B45">
        <f t="shared" si="8"/>
        <v>12.222222222222221</v>
      </c>
      <c r="C45" s="1">
        <f t="shared" si="9"/>
        <v>0.38</v>
      </c>
      <c r="D45" s="2">
        <f t="shared" si="10"/>
        <v>10.778222222222222</v>
      </c>
      <c r="E45">
        <f t="shared" si="11"/>
        <v>1.418187134502924</v>
      </c>
      <c r="F45">
        <f t="shared" si="12"/>
        <v>2.1999999999999997</v>
      </c>
      <c r="G45">
        <f t="shared" si="13"/>
        <v>3.200444444444444</v>
      </c>
      <c r="H45">
        <f t="shared" si="14"/>
        <v>15.285536088369071</v>
      </c>
      <c r="I45">
        <f t="shared" si="15"/>
        <v>21.685980532813517</v>
      </c>
    </row>
    <row r="46" spans="1:9" x14ac:dyDescent="0.25">
      <c r="A46">
        <v>45</v>
      </c>
      <c r="B46">
        <f t="shared" si="8"/>
        <v>12.5</v>
      </c>
      <c r="C46" s="1">
        <f t="shared" si="9"/>
        <v>0.38</v>
      </c>
      <c r="D46" s="2">
        <f t="shared" si="10"/>
        <v>11.056000000000001</v>
      </c>
      <c r="E46">
        <f t="shared" si="11"/>
        <v>1.4547368421052633</v>
      </c>
      <c r="F46">
        <f t="shared" si="12"/>
        <v>2.25</v>
      </c>
      <c r="G46">
        <f t="shared" si="13"/>
        <v>3.306</v>
      </c>
      <c r="H46">
        <f t="shared" si="14"/>
        <v>16.083570526315793</v>
      </c>
      <c r="I46">
        <f t="shared" si="15"/>
        <v>22.639570526315794</v>
      </c>
    </row>
    <row r="47" spans="1:9" x14ac:dyDescent="0.25">
      <c r="A47">
        <v>46</v>
      </c>
      <c r="B47">
        <f t="shared" si="8"/>
        <v>12.777777777777777</v>
      </c>
      <c r="C47" s="1">
        <f t="shared" si="9"/>
        <v>0.38</v>
      </c>
      <c r="D47" s="2">
        <f t="shared" si="10"/>
        <v>11.333777777777776</v>
      </c>
      <c r="E47">
        <f t="shared" si="11"/>
        <v>1.4912865497076022</v>
      </c>
      <c r="F47">
        <f t="shared" si="12"/>
        <v>2.2999999999999998</v>
      </c>
      <c r="G47">
        <f t="shared" si="13"/>
        <v>3.4115555555555552</v>
      </c>
      <c r="H47">
        <f t="shared" si="14"/>
        <v>16.901910357374916</v>
      </c>
      <c r="I47">
        <f t="shared" si="15"/>
        <v>23.613465912930472</v>
      </c>
    </row>
    <row r="48" spans="1:9" x14ac:dyDescent="0.25">
      <c r="A48">
        <v>47</v>
      </c>
      <c r="B48">
        <f t="shared" si="8"/>
        <v>13.055555555555555</v>
      </c>
      <c r="C48" s="1">
        <f t="shared" si="9"/>
        <v>0.38</v>
      </c>
      <c r="D48" s="2">
        <f t="shared" si="10"/>
        <v>11.611555555555555</v>
      </c>
      <c r="E48">
        <f t="shared" si="11"/>
        <v>1.5278362573099415</v>
      </c>
      <c r="F48">
        <f t="shared" si="12"/>
        <v>2.35</v>
      </c>
      <c r="G48">
        <f t="shared" si="13"/>
        <v>3.5171111111111113</v>
      </c>
      <c r="H48">
        <f t="shared" si="14"/>
        <v>17.740555581546456</v>
      </c>
      <c r="I48">
        <f t="shared" si="15"/>
        <v>24.607666692657567</v>
      </c>
    </row>
    <row r="49" spans="1:9" x14ac:dyDescent="0.25">
      <c r="A49">
        <v>48</v>
      </c>
      <c r="B49">
        <f t="shared" si="8"/>
        <v>13.333333333333332</v>
      </c>
      <c r="C49" s="1">
        <f t="shared" si="9"/>
        <v>0.38</v>
      </c>
      <c r="D49" s="2">
        <f t="shared" si="10"/>
        <v>11.889333333333333</v>
      </c>
      <c r="E49">
        <f t="shared" si="11"/>
        <v>1.5643859649122807</v>
      </c>
      <c r="F49">
        <f t="shared" si="12"/>
        <v>2.4</v>
      </c>
      <c r="G49">
        <f t="shared" si="13"/>
        <v>3.6226666666666665</v>
      </c>
      <c r="H49">
        <f t="shared" si="14"/>
        <v>18.599506198830408</v>
      </c>
      <c r="I49">
        <f t="shared" si="15"/>
        <v>25.622172865497074</v>
      </c>
    </row>
    <row r="50" spans="1:9" x14ac:dyDescent="0.25">
      <c r="A50">
        <v>49</v>
      </c>
      <c r="B50">
        <f t="shared" si="8"/>
        <v>13.611111111111111</v>
      </c>
      <c r="C50" s="1">
        <f t="shared" si="9"/>
        <v>0.38</v>
      </c>
      <c r="D50" s="2">
        <f t="shared" si="10"/>
        <v>12.167111111111112</v>
      </c>
      <c r="E50">
        <f t="shared" si="11"/>
        <v>1.60093567251462</v>
      </c>
      <c r="F50">
        <f t="shared" si="12"/>
        <v>2.4499999999999997</v>
      </c>
      <c r="G50">
        <f t="shared" si="13"/>
        <v>3.7282222222222225</v>
      </c>
      <c r="H50">
        <f t="shared" si="14"/>
        <v>19.478762209226772</v>
      </c>
      <c r="I50">
        <f t="shared" si="15"/>
        <v>26.656984431448997</v>
      </c>
    </row>
    <row r="51" spans="1:9" x14ac:dyDescent="0.25">
      <c r="A51">
        <v>50</v>
      </c>
      <c r="B51">
        <f t="shared" si="8"/>
        <v>13.888888888888889</v>
      </c>
      <c r="C51" s="1">
        <f t="shared" si="9"/>
        <v>0.38</v>
      </c>
      <c r="D51" s="2">
        <f t="shared" si="10"/>
        <v>12.44488888888889</v>
      </c>
      <c r="E51">
        <f t="shared" si="11"/>
        <v>1.6374853801169593</v>
      </c>
      <c r="F51">
        <f t="shared" si="12"/>
        <v>2.5</v>
      </c>
      <c r="G51">
        <f t="shared" si="13"/>
        <v>3.8337777777777777</v>
      </c>
      <c r="H51">
        <f t="shared" si="14"/>
        <v>20.378323612735549</v>
      </c>
      <c r="I51">
        <f t="shared" si="15"/>
        <v>27.712101390513325</v>
      </c>
    </row>
    <row r="52" spans="1:9" x14ac:dyDescent="0.25">
      <c r="A52">
        <v>51</v>
      </c>
      <c r="B52">
        <f t="shared" si="8"/>
        <v>14.166666666666666</v>
      </c>
      <c r="C52" s="1">
        <f t="shared" si="9"/>
        <v>0.38</v>
      </c>
      <c r="D52" s="2">
        <f t="shared" si="10"/>
        <v>12.722666666666665</v>
      </c>
      <c r="E52">
        <f t="shared" si="11"/>
        <v>1.6740350877192982</v>
      </c>
      <c r="F52">
        <f t="shared" si="12"/>
        <v>2.5499999999999998</v>
      </c>
      <c r="G52">
        <f t="shared" si="13"/>
        <v>3.9393333333333329</v>
      </c>
      <c r="H52">
        <f t="shared" si="14"/>
        <v>21.298190409356721</v>
      </c>
      <c r="I52">
        <f t="shared" si="15"/>
        <v>28.787523742690055</v>
      </c>
    </row>
    <row r="53" spans="1:9" x14ac:dyDescent="0.25">
      <c r="A53">
        <v>52</v>
      </c>
      <c r="B53">
        <f t="shared" si="8"/>
        <v>14.444444444444445</v>
      </c>
      <c r="C53" s="1">
        <f t="shared" si="9"/>
        <v>0.38</v>
      </c>
      <c r="D53" s="2">
        <f t="shared" si="10"/>
        <v>13.000444444444444</v>
      </c>
      <c r="E53">
        <f t="shared" si="11"/>
        <v>1.7105847953216373</v>
      </c>
      <c r="F53">
        <f t="shared" si="12"/>
        <v>2.6</v>
      </c>
      <c r="G53">
        <f t="shared" si="13"/>
        <v>4.044888888888889</v>
      </c>
      <c r="H53">
        <f t="shared" si="14"/>
        <v>22.238362599090316</v>
      </c>
      <c r="I53">
        <f t="shared" si="15"/>
        <v>29.883251487979205</v>
      </c>
    </row>
    <row r="54" spans="1:9" x14ac:dyDescent="0.25">
      <c r="A54">
        <v>53</v>
      </c>
      <c r="B54">
        <f t="shared" si="8"/>
        <v>14.722222222222221</v>
      </c>
      <c r="C54" s="1">
        <f t="shared" si="9"/>
        <v>0.38</v>
      </c>
      <c r="D54" s="2">
        <f t="shared" si="10"/>
        <v>13.278222222222222</v>
      </c>
      <c r="E54">
        <f t="shared" si="11"/>
        <v>1.7471345029239767</v>
      </c>
      <c r="F54">
        <f t="shared" si="12"/>
        <v>2.65</v>
      </c>
      <c r="G54">
        <f t="shared" si="13"/>
        <v>4.1504444444444442</v>
      </c>
      <c r="H54">
        <f t="shared" si="14"/>
        <v>23.198840181936323</v>
      </c>
      <c r="I54">
        <f t="shared" si="15"/>
        <v>30.999284626380767</v>
      </c>
    </row>
    <row r="55" spans="1:9" x14ac:dyDescent="0.25">
      <c r="A55">
        <v>54</v>
      </c>
      <c r="B55">
        <f t="shared" si="8"/>
        <v>15</v>
      </c>
      <c r="C55" s="1">
        <f t="shared" si="9"/>
        <v>0.38</v>
      </c>
      <c r="D55" s="2">
        <f t="shared" si="10"/>
        <v>13.556000000000001</v>
      </c>
      <c r="E55">
        <f t="shared" si="11"/>
        <v>1.783684210526316</v>
      </c>
      <c r="F55">
        <f t="shared" si="12"/>
        <v>2.6999999999999997</v>
      </c>
      <c r="G55">
        <f t="shared" si="13"/>
        <v>4.2560000000000002</v>
      </c>
      <c r="H55">
        <f t="shared" si="14"/>
        <v>24.179623157894742</v>
      </c>
      <c r="I55">
        <f t="shared" si="15"/>
        <v>32.135623157894742</v>
      </c>
    </row>
    <row r="56" spans="1:9" x14ac:dyDescent="0.25">
      <c r="A56">
        <v>55</v>
      </c>
      <c r="B56">
        <f t="shared" si="8"/>
        <v>15.277777777777777</v>
      </c>
      <c r="C56" s="1">
        <f t="shared" si="9"/>
        <v>0.38</v>
      </c>
      <c r="D56" s="2">
        <f t="shared" si="10"/>
        <v>13.833777777777776</v>
      </c>
      <c r="E56">
        <f t="shared" si="11"/>
        <v>1.8202339181286549</v>
      </c>
      <c r="F56">
        <f t="shared" si="12"/>
        <v>2.7499999999999996</v>
      </c>
      <c r="G56">
        <f t="shared" si="13"/>
        <v>4.3615555555555554</v>
      </c>
      <c r="H56">
        <f t="shared" si="14"/>
        <v>25.180711526965556</v>
      </c>
      <c r="I56">
        <f t="shared" si="15"/>
        <v>33.292267082521107</v>
      </c>
    </row>
    <row r="57" spans="1:9" x14ac:dyDescent="0.25">
      <c r="A57">
        <v>56</v>
      </c>
      <c r="B57">
        <f t="shared" si="8"/>
        <v>15.555555555555555</v>
      </c>
      <c r="C57" s="1">
        <f t="shared" si="9"/>
        <v>0.38</v>
      </c>
      <c r="D57" s="2">
        <f t="shared" si="10"/>
        <v>14.111555555555555</v>
      </c>
      <c r="E57">
        <f t="shared" si="11"/>
        <v>1.8567836257309942</v>
      </c>
      <c r="F57">
        <f t="shared" si="12"/>
        <v>2.8</v>
      </c>
      <c r="G57">
        <f t="shared" si="13"/>
        <v>4.4671111111111115</v>
      </c>
      <c r="H57">
        <f t="shared" si="14"/>
        <v>26.202105289148797</v>
      </c>
      <c r="I57">
        <f t="shared" si="15"/>
        <v>34.46921640025991</v>
      </c>
    </row>
    <row r="58" spans="1:9" x14ac:dyDescent="0.25">
      <c r="A58">
        <v>57</v>
      </c>
      <c r="B58">
        <f t="shared" si="8"/>
        <v>15.833333333333332</v>
      </c>
      <c r="C58" s="1">
        <f t="shared" si="9"/>
        <v>0.38</v>
      </c>
      <c r="D58" s="2">
        <f t="shared" si="10"/>
        <v>14.389333333333333</v>
      </c>
      <c r="E58">
        <f t="shared" si="11"/>
        <v>1.8933333333333333</v>
      </c>
      <c r="F58">
        <f t="shared" si="12"/>
        <v>2.8499999999999996</v>
      </c>
      <c r="G58">
        <f t="shared" si="13"/>
        <v>4.5726666666666667</v>
      </c>
      <c r="H58">
        <f t="shared" si="14"/>
        <v>27.243804444444443</v>
      </c>
      <c r="I58">
        <f t="shared" si="15"/>
        <v>35.666471111111107</v>
      </c>
    </row>
    <row r="59" spans="1:9" x14ac:dyDescent="0.25">
      <c r="A59">
        <v>58</v>
      </c>
      <c r="B59">
        <f t="shared" si="8"/>
        <v>16.111111111111111</v>
      </c>
      <c r="C59" s="1">
        <f t="shared" si="9"/>
        <v>0.38</v>
      </c>
      <c r="D59" s="2">
        <f t="shared" si="10"/>
        <v>14.667111111111112</v>
      </c>
      <c r="E59">
        <f t="shared" si="11"/>
        <v>1.9298830409356726</v>
      </c>
      <c r="F59">
        <f t="shared" si="12"/>
        <v>2.9</v>
      </c>
      <c r="G59">
        <f t="shared" si="13"/>
        <v>4.6782222222222218</v>
      </c>
      <c r="H59">
        <f t="shared" si="14"/>
        <v>28.305808992852505</v>
      </c>
      <c r="I59">
        <f t="shared" si="15"/>
        <v>36.884031215074728</v>
      </c>
    </row>
    <row r="60" spans="1:9" x14ac:dyDescent="0.25">
      <c r="A60">
        <v>59</v>
      </c>
      <c r="B60">
        <f t="shared" si="8"/>
        <v>16.388888888888889</v>
      </c>
      <c r="C60" s="1">
        <f t="shared" si="9"/>
        <v>0.38</v>
      </c>
      <c r="D60" s="2">
        <f t="shared" si="10"/>
        <v>14.94488888888889</v>
      </c>
      <c r="E60">
        <f t="shared" si="11"/>
        <v>1.966432748538012</v>
      </c>
      <c r="F60">
        <f t="shared" si="12"/>
        <v>2.95</v>
      </c>
      <c r="G60">
        <f t="shared" si="13"/>
        <v>4.7837777777777779</v>
      </c>
      <c r="H60">
        <f t="shared" si="14"/>
        <v>29.388118934372976</v>
      </c>
      <c r="I60">
        <f t="shared" si="15"/>
        <v>38.121896712150757</v>
      </c>
    </row>
    <row r="61" spans="1:9" x14ac:dyDescent="0.25">
      <c r="A61">
        <v>60</v>
      </c>
      <c r="B61">
        <f t="shared" si="8"/>
        <v>16.666666666666668</v>
      </c>
      <c r="C61" s="1">
        <f t="shared" si="9"/>
        <v>0.38</v>
      </c>
      <c r="D61" s="2">
        <f t="shared" si="10"/>
        <v>15.222666666666669</v>
      </c>
      <c r="E61">
        <f t="shared" si="11"/>
        <v>2.0029824561403511</v>
      </c>
      <c r="F61">
        <f t="shared" si="12"/>
        <v>3</v>
      </c>
      <c r="G61">
        <f t="shared" si="13"/>
        <v>4.889333333333334</v>
      </c>
      <c r="H61">
        <f t="shared" si="14"/>
        <v>30.490734269005856</v>
      </c>
      <c r="I61">
        <f t="shared" si="15"/>
        <v>39.380067602339189</v>
      </c>
    </row>
    <row r="62" spans="1:9" x14ac:dyDescent="0.25">
      <c r="A62">
        <v>61</v>
      </c>
      <c r="B62">
        <f t="shared" si="8"/>
        <v>16.944444444444443</v>
      </c>
      <c r="C62" s="1">
        <f t="shared" si="9"/>
        <v>0.38</v>
      </c>
      <c r="D62" s="2">
        <f t="shared" si="10"/>
        <v>15.500444444444444</v>
      </c>
      <c r="E62">
        <f t="shared" si="11"/>
        <v>2.03953216374269</v>
      </c>
      <c r="F62">
        <f t="shared" si="12"/>
        <v>3.05</v>
      </c>
      <c r="G62">
        <f t="shared" si="13"/>
        <v>4.9948888888888883</v>
      </c>
      <c r="H62">
        <f t="shared" si="14"/>
        <v>31.613654996751134</v>
      </c>
      <c r="I62">
        <f t="shared" si="15"/>
        <v>40.658543885640022</v>
      </c>
    </row>
    <row r="63" spans="1:9" x14ac:dyDescent="0.25">
      <c r="A63">
        <v>62</v>
      </c>
      <c r="B63">
        <f t="shared" si="8"/>
        <v>17.222222222222221</v>
      </c>
      <c r="C63" s="1">
        <f t="shared" si="9"/>
        <v>0.38</v>
      </c>
      <c r="D63" s="2">
        <f t="shared" si="10"/>
        <v>15.778222222222222</v>
      </c>
      <c r="E63">
        <f t="shared" si="11"/>
        <v>2.0760818713450293</v>
      </c>
      <c r="F63">
        <f t="shared" si="12"/>
        <v>3.0999999999999996</v>
      </c>
      <c r="G63">
        <f t="shared" si="13"/>
        <v>5.1004444444444443</v>
      </c>
      <c r="H63">
        <f t="shared" si="14"/>
        <v>32.756881117608842</v>
      </c>
      <c r="I63">
        <f t="shared" si="15"/>
        <v>41.957325562053285</v>
      </c>
    </row>
    <row r="64" spans="1:9" x14ac:dyDescent="0.25">
      <c r="A64">
        <v>63</v>
      </c>
      <c r="B64">
        <f t="shared" si="8"/>
        <v>17.5</v>
      </c>
      <c r="C64" s="1">
        <f t="shared" si="9"/>
        <v>0.38</v>
      </c>
      <c r="D64" s="2">
        <f t="shared" si="10"/>
        <v>16.056000000000001</v>
      </c>
      <c r="E64">
        <f t="shared" si="11"/>
        <v>2.1126315789473686</v>
      </c>
      <c r="F64">
        <f t="shared" si="12"/>
        <v>3.15</v>
      </c>
      <c r="G64">
        <f t="shared" si="13"/>
        <v>5.2060000000000004</v>
      </c>
      <c r="H64">
        <f t="shared" si="14"/>
        <v>33.920412631578955</v>
      </c>
      <c r="I64">
        <f t="shared" si="15"/>
        <v>43.276412631578957</v>
      </c>
    </row>
    <row r="65" spans="1:9" x14ac:dyDescent="0.25">
      <c r="A65">
        <v>64</v>
      </c>
      <c r="B65">
        <f t="shared" si="8"/>
        <v>17.777777777777779</v>
      </c>
      <c r="C65" s="1">
        <f t="shared" si="9"/>
        <v>0.38</v>
      </c>
      <c r="D65" s="2">
        <f t="shared" si="10"/>
        <v>16.33377777777778</v>
      </c>
      <c r="E65">
        <f t="shared" si="11"/>
        <v>2.149181286549708</v>
      </c>
      <c r="F65">
        <f t="shared" si="12"/>
        <v>3.2</v>
      </c>
      <c r="G65">
        <f t="shared" si="13"/>
        <v>5.3115555555555556</v>
      </c>
      <c r="H65">
        <f t="shared" si="14"/>
        <v>35.104249538661477</v>
      </c>
      <c r="I65">
        <f t="shared" si="15"/>
        <v>44.615805094217038</v>
      </c>
    </row>
    <row r="66" spans="1:9" x14ac:dyDescent="0.25">
      <c r="A66">
        <v>65</v>
      </c>
      <c r="B66">
        <f t="shared" ref="B66:B97" si="16">A66/3.6</f>
        <v>18.055555555555554</v>
      </c>
      <c r="C66" s="1">
        <f t="shared" ref="C66:C97" si="17">MIN(SQRT((2*B66)/ABS($M$2)),$M$5)</f>
        <v>0.38</v>
      </c>
      <c r="D66" s="2">
        <f t="shared" ref="D66:D97" si="18">B66+$M$2*C66^2/2</f>
        <v>16.611555555555555</v>
      </c>
      <c r="E66">
        <f t="shared" ref="E66:E97" si="19">D66/ABS($M$3)</f>
        <v>2.1857309941520469</v>
      </c>
      <c r="F66">
        <f t="shared" ref="F66:F97" si="20">B66*$M$4</f>
        <v>3.2499999999999996</v>
      </c>
      <c r="G66">
        <f t="shared" ref="G66:G97" si="21">B66*C66+$M$2*C66^2/2</f>
        <v>5.4171111111111108</v>
      </c>
      <c r="H66">
        <f t="shared" ref="H66:H97" si="22">D66*E66+M67*E66^2/2</f>
        <v>36.308391838856402</v>
      </c>
      <c r="I66">
        <f t="shared" ref="I66:I97" si="23">SUM(F66:H66)+1</f>
        <v>45.975502949967513</v>
      </c>
    </row>
    <row r="67" spans="1:9" x14ac:dyDescent="0.25">
      <c r="A67">
        <v>66</v>
      </c>
      <c r="B67">
        <f t="shared" si="16"/>
        <v>18.333333333333332</v>
      </c>
      <c r="C67" s="1">
        <f t="shared" si="17"/>
        <v>0.38</v>
      </c>
      <c r="D67" s="2">
        <f t="shared" si="18"/>
        <v>16.889333333333333</v>
      </c>
      <c r="E67">
        <f t="shared" si="19"/>
        <v>2.2222807017543862</v>
      </c>
      <c r="F67">
        <f t="shared" si="20"/>
        <v>3.3</v>
      </c>
      <c r="G67">
        <f t="shared" si="21"/>
        <v>5.5226666666666659</v>
      </c>
      <c r="H67">
        <f t="shared" si="22"/>
        <v>37.532839532163749</v>
      </c>
      <c r="I67">
        <f t="shared" si="23"/>
        <v>47.355506198830412</v>
      </c>
    </row>
    <row r="68" spans="1:9" x14ac:dyDescent="0.25">
      <c r="A68">
        <v>67</v>
      </c>
      <c r="B68">
        <f t="shared" si="16"/>
        <v>18.611111111111111</v>
      </c>
      <c r="C68" s="1">
        <f t="shared" si="17"/>
        <v>0.38</v>
      </c>
      <c r="D68" s="2">
        <f t="shared" si="18"/>
        <v>17.167111111111112</v>
      </c>
      <c r="E68">
        <f t="shared" si="19"/>
        <v>2.2588304093567255</v>
      </c>
      <c r="F68">
        <f t="shared" si="20"/>
        <v>3.3499999999999996</v>
      </c>
      <c r="G68">
        <f t="shared" si="21"/>
        <v>5.628222222222222</v>
      </c>
      <c r="H68">
        <f t="shared" si="22"/>
        <v>38.777592618583505</v>
      </c>
      <c r="I68">
        <f t="shared" si="23"/>
        <v>48.755814840805726</v>
      </c>
    </row>
    <row r="69" spans="1:9" x14ac:dyDescent="0.25">
      <c r="A69">
        <v>68</v>
      </c>
      <c r="B69">
        <f t="shared" si="16"/>
        <v>18.888888888888889</v>
      </c>
      <c r="C69" s="1">
        <f t="shared" si="17"/>
        <v>0.38</v>
      </c>
      <c r="D69" s="2">
        <f t="shared" si="18"/>
        <v>17.44488888888889</v>
      </c>
      <c r="E69">
        <f t="shared" si="19"/>
        <v>2.2953801169590644</v>
      </c>
      <c r="F69">
        <f t="shared" si="20"/>
        <v>3.4</v>
      </c>
      <c r="G69">
        <f t="shared" si="21"/>
        <v>5.7337777777777781</v>
      </c>
      <c r="H69">
        <f t="shared" si="22"/>
        <v>40.042651098115662</v>
      </c>
      <c r="I69">
        <f t="shared" si="23"/>
        <v>50.176428875893443</v>
      </c>
    </row>
    <row r="70" spans="1:9" x14ac:dyDescent="0.25">
      <c r="A70">
        <v>69</v>
      </c>
      <c r="B70">
        <f t="shared" si="16"/>
        <v>19.166666666666668</v>
      </c>
      <c r="C70" s="1">
        <f t="shared" si="17"/>
        <v>0.38</v>
      </c>
      <c r="D70" s="2">
        <f t="shared" si="18"/>
        <v>17.722666666666669</v>
      </c>
      <c r="E70">
        <f t="shared" si="19"/>
        <v>2.3319298245614037</v>
      </c>
      <c r="F70">
        <f t="shared" si="20"/>
        <v>3.45</v>
      </c>
      <c r="G70">
        <f t="shared" si="21"/>
        <v>5.8393333333333342</v>
      </c>
      <c r="H70">
        <f t="shared" si="22"/>
        <v>41.328014970760243</v>
      </c>
      <c r="I70">
        <f t="shared" si="23"/>
        <v>51.617348304093582</v>
      </c>
    </row>
    <row r="71" spans="1:9" x14ac:dyDescent="0.25">
      <c r="A71">
        <v>70</v>
      </c>
      <c r="B71">
        <f t="shared" si="16"/>
        <v>19.444444444444443</v>
      </c>
      <c r="C71" s="1">
        <f t="shared" si="17"/>
        <v>0.38</v>
      </c>
      <c r="D71" s="2">
        <f t="shared" si="18"/>
        <v>18.000444444444444</v>
      </c>
      <c r="E71">
        <f t="shared" si="19"/>
        <v>2.3684795321637426</v>
      </c>
      <c r="F71">
        <f t="shared" si="20"/>
        <v>3.4999999999999996</v>
      </c>
      <c r="G71">
        <f t="shared" si="21"/>
        <v>5.9448888888888884</v>
      </c>
      <c r="H71">
        <f t="shared" si="22"/>
        <v>42.633684236517219</v>
      </c>
      <c r="I71">
        <f t="shared" si="23"/>
        <v>53.078573125406109</v>
      </c>
    </row>
    <row r="72" spans="1:9" x14ac:dyDescent="0.25">
      <c r="A72">
        <v>71</v>
      </c>
      <c r="B72">
        <f t="shared" si="16"/>
        <v>19.722222222222221</v>
      </c>
      <c r="C72" s="1">
        <f t="shared" si="17"/>
        <v>0.38</v>
      </c>
      <c r="D72" s="2">
        <f t="shared" si="18"/>
        <v>18.278222222222222</v>
      </c>
      <c r="E72">
        <f t="shared" si="19"/>
        <v>2.405029239766082</v>
      </c>
      <c r="F72">
        <f t="shared" si="20"/>
        <v>3.55</v>
      </c>
      <c r="G72">
        <f t="shared" si="21"/>
        <v>6.0504444444444445</v>
      </c>
      <c r="H72">
        <f t="shared" si="22"/>
        <v>43.959658895386617</v>
      </c>
      <c r="I72">
        <f t="shared" si="23"/>
        <v>54.560103339831059</v>
      </c>
    </row>
    <row r="73" spans="1:9" x14ac:dyDescent="0.25">
      <c r="A73">
        <v>72</v>
      </c>
      <c r="B73">
        <f t="shared" si="16"/>
        <v>20</v>
      </c>
      <c r="C73" s="1">
        <f t="shared" si="17"/>
        <v>0.38</v>
      </c>
      <c r="D73" s="2">
        <f t="shared" si="18"/>
        <v>18.556000000000001</v>
      </c>
      <c r="E73">
        <f t="shared" si="19"/>
        <v>2.4415789473684213</v>
      </c>
      <c r="F73">
        <f t="shared" si="20"/>
        <v>3.5999999999999996</v>
      </c>
      <c r="G73">
        <f t="shared" si="21"/>
        <v>6.1559999999999997</v>
      </c>
      <c r="H73">
        <f t="shared" si="22"/>
        <v>45.305938947368425</v>
      </c>
      <c r="I73">
        <f t="shared" si="23"/>
        <v>56.061938947368425</v>
      </c>
    </row>
    <row r="74" spans="1:9" x14ac:dyDescent="0.25">
      <c r="A74">
        <v>73</v>
      </c>
      <c r="B74">
        <f t="shared" si="16"/>
        <v>20.277777777777779</v>
      </c>
      <c r="C74" s="1">
        <f t="shared" si="17"/>
        <v>0.38</v>
      </c>
      <c r="D74" s="2">
        <f t="shared" si="18"/>
        <v>18.83377777777778</v>
      </c>
      <c r="E74">
        <f t="shared" si="19"/>
        <v>2.4781286549707606</v>
      </c>
      <c r="F74">
        <f t="shared" si="20"/>
        <v>3.65</v>
      </c>
      <c r="G74">
        <f t="shared" si="21"/>
        <v>6.2615555555555558</v>
      </c>
      <c r="H74">
        <f t="shared" si="22"/>
        <v>46.672524392462648</v>
      </c>
      <c r="I74">
        <f t="shared" si="23"/>
        <v>57.5840799480182</v>
      </c>
    </row>
    <row r="75" spans="1:9" x14ac:dyDescent="0.25">
      <c r="A75">
        <v>74</v>
      </c>
      <c r="B75">
        <f t="shared" si="16"/>
        <v>20.555555555555554</v>
      </c>
      <c r="C75" s="1">
        <f t="shared" si="17"/>
        <v>0.38</v>
      </c>
      <c r="D75" s="2">
        <f t="shared" si="18"/>
        <v>19.111555555555555</v>
      </c>
      <c r="E75">
        <f t="shared" si="19"/>
        <v>2.5146783625730995</v>
      </c>
      <c r="F75">
        <f t="shared" si="20"/>
        <v>3.6999999999999993</v>
      </c>
      <c r="G75">
        <f t="shared" si="21"/>
        <v>6.3671111111111109</v>
      </c>
      <c r="H75">
        <f t="shared" si="22"/>
        <v>48.059415230669266</v>
      </c>
      <c r="I75">
        <f t="shared" si="23"/>
        <v>59.126526341780377</v>
      </c>
    </row>
    <row r="76" spans="1:9" x14ac:dyDescent="0.25">
      <c r="A76">
        <v>75</v>
      </c>
      <c r="B76">
        <f t="shared" si="16"/>
        <v>20.833333333333332</v>
      </c>
      <c r="C76" s="1">
        <f t="shared" si="17"/>
        <v>0.38</v>
      </c>
      <c r="D76" s="2">
        <f t="shared" si="18"/>
        <v>19.389333333333333</v>
      </c>
      <c r="E76">
        <f t="shared" si="19"/>
        <v>2.5512280701754388</v>
      </c>
      <c r="F76">
        <f t="shared" si="20"/>
        <v>3.7499999999999996</v>
      </c>
      <c r="G76">
        <f t="shared" si="21"/>
        <v>6.4726666666666661</v>
      </c>
      <c r="H76">
        <f t="shared" si="22"/>
        <v>49.466611461988307</v>
      </c>
      <c r="I76">
        <f t="shared" si="23"/>
        <v>60.689278128654976</v>
      </c>
    </row>
    <row r="77" spans="1:9" x14ac:dyDescent="0.25">
      <c r="A77">
        <v>76</v>
      </c>
      <c r="B77">
        <f t="shared" si="16"/>
        <v>21.111111111111111</v>
      </c>
      <c r="C77" s="1">
        <f t="shared" si="17"/>
        <v>0.38</v>
      </c>
      <c r="D77" s="2">
        <f t="shared" si="18"/>
        <v>19.667111111111112</v>
      </c>
      <c r="E77">
        <f t="shared" si="19"/>
        <v>2.5877777777777782</v>
      </c>
      <c r="F77">
        <f t="shared" si="20"/>
        <v>3.8</v>
      </c>
      <c r="G77">
        <f t="shared" si="21"/>
        <v>6.5782222222222222</v>
      </c>
      <c r="H77">
        <f t="shared" si="22"/>
        <v>50.894113086419765</v>
      </c>
      <c r="I77">
        <f t="shared" si="23"/>
        <v>62.272335308641985</v>
      </c>
    </row>
    <row r="78" spans="1:9" x14ac:dyDescent="0.25">
      <c r="A78">
        <v>77</v>
      </c>
      <c r="B78">
        <f t="shared" si="16"/>
        <v>21.388888888888889</v>
      </c>
      <c r="C78" s="1">
        <f t="shared" si="17"/>
        <v>0.38</v>
      </c>
      <c r="D78" s="2">
        <f t="shared" si="18"/>
        <v>19.94488888888889</v>
      </c>
      <c r="E78">
        <f t="shared" si="19"/>
        <v>2.6243274853801171</v>
      </c>
      <c r="F78">
        <f t="shared" si="20"/>
        <v>3.85</v>
      </c>
      <c r="G78">
        <f t="shared" si="21"/>
        <v>6.6837777777777783</v>
      </c>
      <c r="H78">
        <f t="shared" si="22"/>
        <v>52.341920103963616</v>
      </c>
      <c r="I78">
        <f t="shared" si="23"/>
        <v>63.875697881741395</v>
      </c>
    </row>
    <row r="79" spans="1:9" x14ac:dyDescent="0.25">
      <c r="A79">
        <v>78</v>
      </c>
      <c r="B79">
        <f t="shared" si="16"/>
        <v>21.666666666666668</v>
      </c>
      <c r="C79" s="1">
        <f t="shared" si="17"/>
        <v>0.38</v>
      </c>
      <c r="D79" s="2">
        <f t="shared" si="18"/>
        <v>20.222666666666669</v>
      </c>
      <c r="E79">
        <f t="shared" si="19"/>
        <v>2.6608771929824564</v>
      </c>
      <c r="F79">
        <f t="shared" si="20"/>
        <v>3.9</v>
      </c>
      <c r="G79">
        <f t="shared" si="21"/>
        <v>6.7893333333333343</v>
      </c>
      <c r="H79">
        <f t="shared" si="22"/>
        <v>53.810032514619891</v>
      </c>
      <c r="I79">
        <f t="shared" si="23"/>
        <v>65.499365847953229</v>
      </c>
    </row>
    <row r="80" spans="1:9" x14ac:dyDescent="0.25">
      <c r="A80">
        <v>79</v>
      </c>
      <c r="B80">
        <f t="shared" si="16"/>
        <v>21.944444444444443</v>
      </c>
      <c r="C80" s="1">
        <f t="shared" si="17"/>
        <v>0.38</v>
      </c>
      <c r="D80" s="2">
        <f t="shared" si="18"/>
        <v>20.500444444444444</v>
      </c>
      <c r="E80">
        <f t="shared" si="19"/>
        <v>2.6974269005847953</v>
      </c>
      <c r="F80">
        <f t="shared" si="20"/>
        <v>3.9499999999999997</v>
      </c>
      <c r="G80">
        <f t="shared" si="21"/>
        <v>6.8948888888888886</v>
      </c>
      <c r="H80">
        <f t="shared" si="22"/>
        <v>55.298450318388561</v>
      </c>
      <c r="I80">
        <f t="shared" si="23"/>
        <v>67.14333920727745</v>
      </c>
    </row>
    <row r="81" spans="1:9" x14ac:dyDescent="0.25">
      <c r="A81">
        <v>80</v>
      </c>
      <c r="B81">
        <f t="shared" si="16"/>
        <v>22.222222222222221</v>
      </c>
      <c r="C81" s="1">
        <f t="shared" si="17"/>
        <v>0.38</v>
      </c>
      <c r="D81" s="2">
        <f t="shared" si="18"/>
        <v>20.778222222222222</v>
      </c>
      <c r="E81">
        <f t="shared" si="19"/>
        <v>2.7339766081871346</v>
      </c>
      <c r="F81">
        <f t="shared" si="20"/>
        <v>3.9999999999999996</v>
      </c>
      <c r="G81">
        <f t="shared" si="21"/>
        <v>7.0004444444444447</v>
      </c>
      <c r="H81">
        <f t="shared" si="22"/>
        <v>56.80717351526966</v>
      </c>
      <c r="I81">
        <f t="shared" si="23"/>
        <v>68.807617959714108</v>
      </c>
    </row>
    <row r="82" spans="1:9" x14ac:dyDescent="0.25">
      <c r="A82">
        <v>81</v>
      </c>
      <c r="B82">
        <f t="shared" si="16"/>
        <v>22.5</v>
      </c>
      <c r="C82" s="1">
        <f t="shared" si="17"/>
        <v>0.38</v>
      </c>
      <c r="D82" s="2">
        <f t="shared" si="18"/>
        <v>21.056000000000001</v>
      </c>
      <c r="E82">
        <f t="shared" si="19"/>
        <v>2.7705263157894739</v>
      </c>
      <c r="F82">
        <f t="shared" si="20"/>
        <v>4.05</v>
      </c>
      <c r="G82">
        <f t="shared" si="21"/>
        <v>7.1060000000000008</v>
      </c>
      <c r="H82">
        <f t="shared" si="22"/>
        <v>58.336202105263169</v>
      </c>
      <c r="I82">
        <f t="shared" si="23"/>
        <v>70.492202105263175</v>
      </c>
    </row>
    <row r="83" spans="1:9" x14ac:dyDescent="0.25">
      <c r="A83">
        <v>82</v>
      </c>
      <c r="B83">
        <f t="shared" si="16"/>
        <v>22.777777777777779</v>
      </c>
      <c r="C83" s="1">
        <f t="shared" si="17"/>
        <v>0.38</v>
      </c>
      <c r="D83" s="2">
        <f t="shared" si="18"/>
        <v>21.33377777777778</v>
      </c>
      <c r="E83">
        <f t="shared" si="19"/>
        <v>2.8070760233918133</v>
      </c>
      <c r="F83">
        <f t="shared" si="20"/>
        <v>4.0999999999999996</v>
      </c>
      <c r="G83">
        <f t="shared" si="21"/>
        <v>7.2115555555555568</v>
      </c>
      <c r="H83">
        <f t="shared" si="22"/>
        <v>59.885536088369086</v>
      </c>
      <c r="I83">
        <f t="shared" si="23"/>
        <v>72.197091643924637</v>
      </c>
    </row>
    <row r="84" spans="1:9" x14ac:dyDescent="0.25">
      <c r="A84">
        <v>83</v>
      </c>
      <c r="B84">
        <f t="shared" si="16"/>
        <v>23.055555555555554</v>
      </c>
      <c r="C84" s="1">
        <f t="shared" si="17"/>
        <v>0.38</v>
      </c>
      <c r="D84" s="2">
        <f t="shared" si="18"/>
        <v>21.611555555555555</v>
      </c>
      <c r="E84">
        <f t="shared" si="19"/>
        <v>2.8436257309941522</v>
      </c>
      <c r="F84">
        <f t="shared" si="20"/>
        <v>4.1499999999999995</v>
      </c>
      <c r="G84">
        <f t="shared" si="21"/>
        <v>7.3171111111111111</v>
      </c>
      <c r="H84">
        <f t="shared" si="22"/>
        <v>61.455175464587391</v>
      </c>
      <c r="I84">
        <f t="shared" si="23"/>
        <v>73.922286575698507</v>
      </c>
    </row>
    <row r="85" spans="1:9" x14ac:dyDescent="0.25">
      <c r="A85">
        <v>84</v>
      </c>
      <c r="B85">
        <f t="shared" si="16"/>
        <v>23.333333333333332</v>
      </c>
      <c r="C85" s="1">
        <f t="shared" si="17"/>
        <v>0.38</v>
      </c>
      <c r="D85" s="2">
        <f t="shared" si="18"/>
        <v>21.889333333333333</v>
      </c>
      <c r="E85">
        <f t="shared" si="19"/>
        <v>2.8801754385964915</v>
      </c>
      <c r="F85">
        <f t="shared" si="20"/>
        <v>4.1999999999999993</v>
      </c>
      <c r="G85">
        <f t="shared" si="21"/>
        <v>7.4226666666666672</v>
      </c>
      <c r="H85">
        <f t="shared" si="22"/>
        <v>63.045120233918134</v>
      </c>
      <c r="I85">
        <f t="shared" si="23"/>
        <v>75.667786900584801</v>
      </c>
    </row>
    <row r="86" spans="1:9" x14ac:dyDescent="0.25">
      <c r="A86">
        <v>85</v>
      </c>
      <c r="B86">
        <f t="shared" si="16"/>
        <v>23.611111111111111</v>
      </c>
      <c r="C86" s="1">
        <f t="shared" si="17"/>
        <v>0.38</v>
      </c>
      <c r="D86" s="2">
        <f t="shared" si="18"/>
        <v>22.167111111111112</v>
      </c>
      <c r="E86">
        <f t="shared" si="19"/>
        <v>2.9167251461988308</v>
      </c>
      <c r="F86">
        <f t="shared" si="20"/>
        <v>4.25</v>
      </c>
      <c r="G86">
        <f t="shared" si="21"/>
        <v>7.5282222222222215</v>
      </c>
      <c r="H86">
        <f t="shared" si="22"/>
        <v>64.655370396361278</v>
      </c>
      <c r="I86">
        <f t="shared" si="23"/>
        <v>77.433592618583504</v>
      </c>
    </row>
    <row r="87" spans="1:9" x14ac:dyDescent="0.25">
      <c r="A87">
        <v>86</v>
      </c>
      <c r="B87">
        <f t="shared" si="16"/>
        <v>23.888888888888889</v>
      </c>
      <c r="C87" s="1">
        <f t="shared" si="17"/>
        <v>0.38</v>
      </c>
      <c r="D87" s="2">
        <f t="shared" si="18"/>
        <v>22.44488888888889</v>
      </c>
      <c r="E87">
        <f t="shared" si="19"/>
        <v>2.9532748538011697</v>
      </c>
      <c r="F87">
        <f t="shared" si="20"/>
        <v>4.3</v>
      </c>
      <c r="G87">
        <f t="shared" si="21"/>
        <v>7.6337777777777776</v>
      </c>
      <c r="H87">
        <f t="shared" si="22"/>
        <v>66.285925951916838</v>
      </c>
      <c r="I87">
        <f t="shared" si="23"/>
        <v>79.219703729694615</v>
      </c>
    </row>
    <row r="88" spans="1:9" x14ac:dyDescent="0.25">
      <c r="A88">
        <v>87</v>
      </c>
      <c r="B88">
        <f t="shared" si="16"/>
        <v>24.166666666666664</v>
      </c>
      <c r="C88" s="1">
        <f t="shared" si="17"/>
        <v>0.38</v>
      </c>
      <c r="D88" s="2">
        <f t="shared" si="18"/>
        <v>22.722666666666665</v>
      </c>
      <c r="E88">
        <f t="shared" si="19"/>
        <v>2.9898245614035086</v>
      </c>
      <c r="F88">
        <f t="shared" si="20"/>
        <v>4.3499999999999996</v>
      </c>
      <c r="G88">
        <f t="shared" si="21"/>
        <v>7.7393333333333318</v>
      </c>
      <c r="H88">
        <f t="shared" si="22"/>
        <v>67.936786900584792</v>
      </c>
      <c r="I88">
        <f t="shared" si="23"/>
        <v>81.026120233918121</v>
      </c>
    </row>
    <row r="89" spans="1:9" x14ac:dyDescent="0.25">
      <c r="A89">
        <v>88</v>
      </c>
      <c r="B89">
        <f t="shared" si="16"/>
        <v>24.444444444444443</v>
      </c>
      <c r="C89" s="1">
        <f t="shared" si="17"/>
        <v>0.38</v>
      </c>
      <c r="D89" s="2">
        <f t="shared" si="18"/>
        <v>23.000444444444444</v>
      </c>
      <c r="E89">
        <f t="shared" si="19"/>
        <v>3.0263742690058479</v>
      </c>
      <c r="F89">
        <f t="shared" si="20"/>
        <v>4.3999999999999995</v>
      </c>
      <c r="G89">
        <f t="shared" si="21"/>
        <v>7.8448888888888879</v>
      </c>
      <c r="H89">
        <f t="shared" si="22"/>
        <v>69.60795324236517</v>
      </c>
      <c r="I89">
        <f t="shared" si="23"/>
        <v>82.85284213125405</v>
      </c>
    </row>
    <row r="90" spans="1:9" x14ac:dyDescent="0.25">
      <c r="A90">
        <v>89</v>
      </c>
      <c r="B90">
        <f t="shared" si="16"/>
        <v>24.722222222222221</v>
      </c>
      <c r="C90" s="1">
        <f t="shared" si="17"/>
        <v>0.38</v>
      </c>
      <c r="D90" s="2">
        <f t="shared" si="18"/>
        <v>23.278222222222222</v>
      </c>
      <c r="E90">
        <f t="shared" si="19"/>
        <v>3.0629239766081873</v>
      </c>
      <c r="F90">
        <f t="shared" si="20"/>
        <v>4.4499999999999993</v>
      </c>
      <c r="G90">
        <f t="shared" si="21"/>
        <v>7.950444444444444</v>
      </c>
      <c r="H90">
        <f t="shared" si="22"/>
        <v>71.299424977257956</v>
      </c>
      <c r="I90">
        <f t="shared" si="23"/>
        <v>84.699869421702402</v>
      </c>
    </row>
    <row r="91" spans="1:9" x14ac:dyDescent="0.25">
      <c r="A91">
        <v>90</v>
      </c>
      <c r="B91">
        <f t="shared" si="16"/>
        <v>25</v>
      </c>
      <c r="C91" s="1">
        <f t="shared" si="17"/>
        <v>0.38</v>
      </c>
      <c r="D91" s="2">
        <f t="shared" si="18"/>
        <v>23.556000000000001</v>
      </c>
      <c r="E91">
        <f t="shared" si="19"/>
        <v>3.0994736842105266</v>
      </c>
      <c r="F91">
        <f t="shared" si="20"/>
        <v>4.5</v>
      </c>
      <c r="G91">
        <f t="shared" si="21"/>
        <v>8.0560000000000009</v>
      </c>
      <c r="H91">
        <f t="shared" si="22"/>
        <v>73.011202105263166</v>
      </c>
      <c r="I91">
        <f t="shared" si="23"/>
        <v>86.567202105263164</v>
      </c>
    </row>
    <row r="92" spans="1:9" x14ac:dyDescent="0.25">
      <c r="A92">
        <v>91</v>
      </c>
      <c r="B92">
        <f t="shared" si="16"/>
        <v>25.277777777777779</v>
      </c>
      <c r="C92" s="1">
        <f t="shared" si="17"/>
        <v>0.38</v>
      </c>
      <c r="D92" s="2">
        <f t="shared" si="18"/>
        <v>23.83377777777778</v>
      </c>
      <c r="E92">
        <f t="shared" si="19"/>
        <v>3.1360233918128659</v>
      </c>
      <c r="F92">
        <f t="shared" si="20"/>
        <v>4.55</v>
      </c>
      <c r="G92">
        <f t="shared" si="21"/>
        <v>8.1615555555555552</v>
      </c>
      <c r="H92">
        <f t="shared" si="22"/>
        <v>74.743284626380785</v>
      </c>
      <c r="I92">
        <f t="shared" si="23"/>
        <v>88.454840181936333</v>
      </c>
    </row>
    <row r="93" spans="1:9" x14ac:dyDescent="0.25">
      <c r="A93">
        <v>92</v>
      </c>
      <c r="B93">
        <f t="shared" si="16"/>
        <v>25.555555555555554</v>
      </c>
      <c r="C93" s="1">
        <f t="shared" si="17"/>
        <v>0.38</v>
      </c>
      <c r="D93" s="2">
        <f t="shared" si="18"/>
        <v>24.111555555555555</v>
      </c>
      <c r="E93">
        <f t="shared" si="19"/>
        <v>3.1725730994152048</v>
      </c>
      <c r="F93">
        <f t="shared" si="20"/>
        <v>4.5999999999999996</v>
      </c>
      <c r="G93">
        <f t="shared" si="21"/>
        <v>8.2671111111111095</v>
      </c>
      <c r="H93">
        <f t="shared" si="22"/>
        <v>76.495672540610784</v>
      </c>
      <c r="I93">
        <f t="shared" si="23"/>
        <v>90.362783651721898</v>
      </c>
    </row>
    <row r="94" spans="1:9" x14ac:dyDescent="0.25">
      <c r="A94">
        <v>93</v>
      </c>
      <c r="B94">
        <f t="shared" si="16"/>
        <v>25.833333333333332</v>
      </c>
      <c r="C94" s="1">
        <f t="shared" si="17"/>
        <v>0.38</v>
      </c>
      <c r="D94" s="2">
        <f t="shared" si="18"/>
        <v>24.389333333333333</v>
      </c>
      <c r="E94">
        <f t="shared" si="19"/>
        <v>3.2091228070175442</v>
      </c>
      <c r="F94">
        <f t="shared" si="20"/>
        <v>4.6499999999999995</v>
      </c>
      <c r="G94">
        <f t="shared" si="21"/>
        <v>8.3726666666666674</v>
      </c>
      <c r="H94">
        <f t="shared" si="22"/>
        <v>78.26836584795322</v>
      </c>
      <c r="I94">
        <f t="shared" si="23"/>
        <v>92.291032514619886</v>
      </c>
    </row>
    <row r="95" spans="1:9" x14ac:dyDescent="0.25">
      <c r="A95">
        <v>94</v>
      </c>
      <c r="B95">
        <f t="shared" si="16"/>
        <v>26.111111111111111</v>
      </c>
      <c r="C95" s="1">
        <f t="shared" si="17"/>
        <v>0.38</v>
      </c>
      <c r="D95" s="2">
        <f t="shared" si="18"/>
        <v>24.667111111111112</v>
      </c>
      <c r="E95">
        <f t="shared" si="19"/>
        <v>3.245672514619883</v>
      </c>
      <c r="F95">
        <f t="shared" si="20"/>
        <v>4.7</v>
      </c>
      <c r="G95">
        <f t="shared" si="21"/>
        <v>8.4782222222222217</v>
      </c>
      <c r="H95">
        <f t="shared" si="22"/>
        <v>80.061364548408065</v>
      </c>
      <c r="I95">
        <f t="shared" si="23"/>
        <v>94.239586770630282</v>
      </c>
    </row>
    <row r="96" spans="1:9" x14ac:dyDescent="0.25">
      <c r="A96">
        <v>95</v>
      </c>
      <c r="B96">
        <f t="shared" si="16"/>
        <v>26.388888888888889</v>
      </c>
      <c r="C96" s="1">
        <f t="shared" si="17"/>
        <v>0.38</v>
      </c>
      <c r="D96" s="2">
        <f t="shared" si="18"/>
        <v>24.94488888888889</v>
      </c>
      <c r="E96">
        <f t="shared" si="19"/>
        <v>3.2822222222222224</v>
      </c>
      <c r="F96">
        <f t="shared" si="20"/>
        <v>4.75</v>
      </c>
      <c r="G96">
        <f t="shared" si="21"/>
        <v>8.5837777777777795</v>
      </c>
      <c r="H96">
        <f t="shared" si="22"/>
        <v>81.874668641975319</v>
      </c>
      <c r="I96">
        <f t="shared" si="23"/>
        <v>96.208446419753102</v>
      </c>
    </row>
    <row r="97" spans="1:9" x14ac:dyDescent="0.25">
      <c r="A97">
        <v>96</v>
      </c>
      <c r="B97">
        <f t="shared" si="16"/>
        <v>26.666666666666664</v>
      </c>
      <c r="C97" s="1">
        <f t="shared" si="17"/>
        <v>0.38</v>
      </c>
      <c r="D97" s="2">
        <f t="shared" si="18"/>
        <v>25.222666666666665</v>
      </c>
      <c r="E97">
        <f t="shared" si="19"/>
        <v>3.3187719298245613</v>
      </c>
      <c r="F97">
        <f t="shared" si="20"/>
        <v>4.8</v>
      </c>
      <c r="G97">
        <f t="shared" si="21"/>
        <v>8.6893333333333338</v>
      </c>
      <c r="H97">
        <f t="shared" si="22"/>
        <v>83.708278128654968</v>
      </c>
      <c r="I97">
        <f t="shared" si="23"/>
        <v>98.197611461988302</v>
      </c>
    </row>
    <row r="98" spans="1:9" x14ac:dyDescent="0.25">
      <c r="A98">
        <v>97</v>
      </c>
      <c r="B98">
        <f t="shared" ref="B98:B131" si="24">A98/3.6</f>
        <v>26.944444444444443</v>
      </c>
      <c r="C98" s="1">
        <f t="shared" ref="C98:C131" si="25">MIN(SQRT((2*B98)/ABS($M$2)),$M$5)</f>
        <v>0.38</v>
      </c>
      <c r="D98" s="2">
        <f t="shared" ref="D98:D121" si="26">B98+$M$2*C98^2/2</f>
        <v>25.500444444444444</v>
      </c>
      <c r="E98">
        <f t="shared" ref="E98:E131" si="27">D98/ABS($M$3)</f>
        <v>3.3553216374269006</v>
      </c>
      <c r="F98">
        <f t="shared" ref="F98:F121" si="28">B98*$M$4</f>
        <v>4.8499999999999996</v>
      </c>
      <c r="G98">
        <f t="shared" ref="G98:G121" si="29">B98*C98+$M$2*C98^2/2</f>
        <v>8.7948888888888881</v>
      </c>
      <c r="H98">
        <f t="shared" ref="H98:H121" si="30">D98*E98+M99*E98^2/2</f>
        <v>85.562193008447039</v>
      </c>
      <c r="I98">
        <f t="shared" ref="I98:I121" si="31">SUM(F98:H98)+1</f>
        <v>100.20708189733593</v>
      </c>
    </row>
    <row r="99" spans="1:9" x14ac:dyDescent="0.25">
      <c r="A99">
        <v>98</v>
      </c>
      <c r="B99">
        <f t="shared" si="24"/>
        <v>27.222222222222221</v>
      </c>
      <c r="C99" s="1">
        <f t="shared" si="25"/>
        <v>0.38</v>
      </c>
      <c r="D99" s="2">
        <f t="shared" si="26"/>
        <v>25.778222222222222</v>
      </c>
      <c r="E99">
        <f t="shared" si="27"/>
        <v>3.3918713450292399</v>
      </c>
      <c r="F99">
        <f t="shared" si="28"/>
        <v>4.8999999999999995</v>
      </c>
      <c r="G99">
        <f t="shared" si="29"/>
        <v>8.9004444444444459</v>
      </c>
      <c r="H99">
        <f t="shared" si="30"/>
        <v>87.436413281351534</v>
      </c>
      <c r="I99">
        <f t="shared" si="31"/>
        <v>102.23685772579597</v>
      </c>
    </row>
    <row r="100" spans="1:9" x14ac:dyDescent="0.25">
      <c r="A100">
        <v>99</v>
      </c>
      <c r="B100">
        <f t="shared" si="24"/>
        <v>27.5</v>
      </c>
      <c r="C100" s="1">
        <f t="shared" si="25"/>
        <v>0.38</v>
      </c>
      <c r="D100" s="2">
        <f t="shared" si="26"/>
        <v>26.056000000000001</v>
      </c>
      <c r="E100">
        <f t="shared" si="27"/>
        <v>3.4284210526315793</v>
      </c>
      <c r="F100">
        <f t="shared" si="28"/>
        <v>4.95</v>
      </c>
      <c r="G100">
        <f t="shared" si="29"/>
        <v>9.0060000000000002</v>
      </c>
      <c r="H100">
        <f t="shared" si="30"/>
        <v>89.330938947368438</v>
      </c>
      <c r="I100">
        <f t="shared" si="31"/>
        <v>104.28693894736844</v>
      </c>
    </row>
    <row r="101" spans="1:9" x14ac:dyDescent="0.25">
      <c r="A101">
        <v>100</v>
      </c>
      <c r="B101">
        <f t="shared" si="24"/>
        <v>27.777777777777779</v>
      </c>
      <c r="C101" s="1">
        <f t="shared" si="25"/>
        <v>0.38</v>
      </c>
      <c r="D101" s="2">
        <f t="shared" si="26"/>
        <v>26.33377777777778</v>
      </c>
      <c r="E101">
        <f t="shared" si="27"/>
        <v>3.4649707602339186</v>
      </c>
      <c r="F101">
        <f t="shared" si="28"/>
        <v>5</v>
      </c>
      <c r="G101">
        <f t="shared" si="29"/>
        <v>9.1115555555555545</v>
      </c>
      <c r="H101">
        <f t="shared" si="30"/>
        <v>91.24577000649775</v>
      </c>
      <c r="I101">
        <f t="shared" si="31"/>
        <v>106.3573255620533</v>
      </c>
    </row>
    <row r="102" spans="1:9" x14ac:dyDescent="0.25">
      <c r="A102">
        <v>101</v>
      </c>
      <c r="B102">
        <f t="shared" si="24"/>
        <v>28.055555555555554</v>
      </c>
      <c r="C102" s="1">
        <f t="shared" si="25"/>
        <v>0.38</v>
      </c>
      <c r="D102" s="2">
        <f t="shared" si="26"/>
        <v>26.611555555555555</v>
      </c>
      <c r="E102">
        <f t="shared" si="27"/>
        <v>3.5015204678362575</v>
      </c>
      <c r="F102">
        <f t="shared" si="28"/>
        <v>5.05</v>
      </c>
      <c r="G102">
        <f t="shared" si="29"/>
        <v>9.2171111111111088</v>
      </c>
      <c r="H102">
        <f t="shared" si="30"/>
        <v>93.180906458739443</v>
      </c>
      <c r="I102">
        <f t="shared" si="31"/>
        <v>108.44801756985055</v>
      </c>
    </row>
    <row r="103" spans="1:9" x14ac:dyDescent="0.25">
      <c r="A103">
        <v>102</v>
      </c>
      <c r="B103">
        <f t="shared" si="24"/>
        <v>28.333333333333332</v>
      </c>
      <c r="C103" s="1">
        <f t="shared" si="25"/>
        <v>0.38</v>
      </c>
      <c r="D103" s="2">
        <f t="shared" si="26"/>
        <v>26.889333333333333</v>
      </c>
      <c r="E103">
        <f t="shared" si="27"/>
        <v>3.5380701754385968</v>
      </c>
      <c r="F103">
        <f t="shared" si="28"/>
        <v>5.0999999999999996</v>
      </c>
      <c r="G103">
        <f t="shared" si="29"/>
        <v>9.3226666666666667</v>
      </c>
      <c r="H103">
        <f t="shared" si="30"/>
        <v>95.136348304093573</v>
      </c>
      <c r="I103">
        <f t="shared" si="31"/>
        <v>110.55901497076024</v>
      </c>
    </row>
    <row r="104" spans="1:9" x14ac:dyDescent="0.25">
      <c r="A104">
        <v>103</v>
      </c>
      <c r="B104">
        <f t="shared" si="24"/>
        <v>28.611111111111111</v>
      </c>
      <c r="C104" s="1">
        <f t="shared" si="25"/>
        <v>0.38</v>
      </c>
      <c r="D104" s="2">
        <f t="shared" si="26"/>
        <v>27.167111111111112</v>
      </c>
      <c r="E104">
        <f t="shared" si="27"/>
        <v>3.5746198830409357</v>
      </c>
      <c r="F104">
        <f t="shared" si="28"/>
        <v>5.1499999999999995</v>
      </c>
      <c r="G104">
        <f t="shared" si="29"/>
        <v>9.4282222222222209</v>
      </c>
      <c r="H104">
        <f t="shared" si="30"/>
        <v>97.112095542560112</v>
      </c>
      <c r="I104">
        <f t="shared" si="31"/>
        <v>112.69031776478234</v>
      </c>
    </row>
    <row r="105" spans="1:9" x14ac:dyDescent="0.25">
      <c r="A105">
        <v>104</v>
      </c>
      <c r="B105">
        <f t="shared" si="24"/>
        <v>28.888888888888889</v>
      </c>
      <c r="C105" s="1">
        <f t="shared" si="25"/>
        <v>0.38</v>
      </c>
      <c r="D105" s="2">
        <f t="shared" si="26"/>
        <v>27.44488888888889</v>
      </c>
      <c r="E105">
        <f t="shared" si="27"/>
        <v>3.611169590643275</v>
      </c>
      <c r="F105">
        <f t="shared" si="28"/>
        <v>5.2</v>
      </c>
      <c r="G105">
        <f t="shared" si="29"/>
        <v>9.5337777777777788</v>
      </c>
      <c r="H105">
        <f t="shared" si="30"/>
        <v>99.10814817413906</v>
      </c>
      <c r="I105">
        <f t="shared" si="31"/>
        <v>114.84192595191683</v>
      </c>
    </row>
    <row r="106" spans="1:9" x14ac:dyDescent="0.25">
      <c r="A106">
        <v>105</v>
      </c>
      <c r="B106">
        <f t="shared" si="24"/>
        <v>29.166666666666664</v>
      </c>
      <c r="C106" s="1">
        <f t="shared" si="25"/>
        <v>0.38</v>
      </c>
      <c r="D106" s="2">
        <f t="shared" si="26"/>
        <v>27.722666666666665</v>
      </c>
      <c r="E106">
        <f t="shared" si="27"/>
        <v>3.6477192982456139</v>
      </c>
      <c r="F106">
        <f t="shared" si="28"/>
        <v>5.2499999999999991</v>
      </c>
      <c r="G106">
        <f t="shared" si="29"/>
        <v>9.6393333333333331</v>
      </c>
      <c r="H106">
        <f t="shared" si="30"/>
        <v>101.1245061988304</v>
      </c>
      <c r="I106">
        <f t="shared" si="31"/>
        <v>117.01383953216373</v>
      </c>
    </row>
    <row r="107" spans="1:9" x14ac:dyDescent="0.25">
      <c r="A107">
        <v>106</v>
      </c>
      <c r="B107">
        <f t="shared" si="24"/>
        <v>29.444444444444443</v>
      </c>
      <c r="C107" s="1">
        <f t="shared" si="25"/>
        <v>0.38</v>
      </c>
      <c r="D107" s="2">
        <f t="shared" si="26"/>
        <v>28.000444444444444</v>
      </c>
      <c r="E107">
        <f t="shared" si="27"/>
        <v>3.6842690058479532</v>
      </c>
      <c r="F107">
        <f t="shared" si="28"/>
        <v>5.3</v>
      </c>
      <c r="G107">
        <f t="shared" si="29"/>
        <v>9.7448888888888874</v>
      </c>
      <c r="H107">
        <f t="shared" si="30"/>
        <v>103.16116961663418</v>
      </c>
      <c r="I107">
        <f t="shared" si="31"/>
        <v>119.20605850552307</v>
      </c>
    </row>
    <row r="108" spans="1:9" x14ac:dyDescent="0.25">
      <c r="A108">
        <v>107</v>
      </c>
      <c r="B108">
        <f t="shared" si="24"/>
        <v>29.722222222222221</v>
      </c>
      <c r="C108" s="1">
        <f t="shared" si="25"/>
        <v>0.38</v>
      </c>
      <c r="D108" s="2">
        <f t="shared" si="26"/>
        <v>28.278222222222222</v>
      </c>
      <c r="E108">
        <f t="shared" si="27"/>
        <v>3.7208187134502926</v>
      </c>
      <c r="F108">
        <f t="shared" si="28"/>
        <v>5.35</v>
      </c>
      <c r="G108">
        <f t="shared" si="29"/>
        <v>9.8504444444444452</v>
      </c>
      <c r="H108">
        <f t="shared" si="30"/>
        <v>105.21813842755036</v>
      </c>
      <c r="I108">
        <f t="shared" si="31"/>
        <v>121.4185828719948</v>
      </c>
    </row>
    <row r="109" spans="1:9" x14ac:dyDescent="0.25">
      <c r="A109">
        <v>108</v>
      </c>
      <c r="B109">
        <f t="shared" si="24"/>
        <v>30</v>
      </c>
      <c r="C109" s="1">
        <f t="shared" si="25"/>
        <v>0.38</v>
      </c>
      <c r="D109" s="2">
        <f t="shared" si="26"/>
        <v>28.556000000000001</v>
      </c>
      <c r="E109">
        <f t="shared" si="27"/>
        <v>3.7573684210526319</v>
      </c>
      <c r="F109">
        <f t="shared" si="28"/>
        <v>5.3999999999999995</v>
      </c>
      <c r="G109">
        <f t="shared" si="29"/>
        <v>9.9559999999999995</v>
      </c>
      <c r="H109">
        <f t="shared" si="30"/>
        <v>107.29541263157896</v>
      </c>
      <c r="I109">
        <f t="shared" si="31"/>
        <v>123.65141263157895</v>
      </c>
    </row>
    <row r="110" spans="1:9" x14ac:dyDescent="0.25">
      <c r="A110">
        <v>109</v>
      </c>
      <c r="B110">
        <f t="shared" si="24"/>
        <v>30.277777777777779</v>
      </c>
      <c r="C110" s="1">
        <f t="shared" si="25"/>
        <v>0.38</v>
      </c>
      <c r="D110" s="2">
        <f t="shared" si="26"/>
        <v>28.83377777777778</v>
      </c>
      <c r="E110">
        <f t="shared" si="27"/>
        <v>3.7939181286549712</v>
      </c>
      <c r="F110">
        <f t="shared" si="28"/>
        <v>5.45</v>
      </c>
      <c r="G110">
        <f t="shared" si="29"/>
        <v>10.061555555555557</v>
      </c>
      <c r="H110">
        <f t="shared" si="30"/>
        <v>109.39299222871996</v>
      </c>
      <c r="I110">
        <f t="shared" si="31"/>
        <v>125.90454778427552</v>
      </c>
    </row>
    <row r="111" spans="1:9" x14ac:dyDescent="0.25">
      <c r="A111">
        <v>110</v>
      </c>
      <c r="B111">
        <f t="shared" si="24"/>
        <v>30.555555555555554</v>
      </c>
      <c r="C111" s="1">
        <f t="shared" si="25"/>
        <v>0.38</v>
      </c>
      <c r="D111" s="2">
        <f t="shared" si="26"/>
        <v>29.111555555555555</v>
      </c>
      <c r="E111">
        <f t="shared" si="27"/>
        <v>3.8304678362573101</v>
      </c>
      <c r="F111">
        <f t="shared" si="28"/>
        <v>5.4999999999999991</v>
      </c>
      <c r="G111">
        <f t="shared" si="29"/>
        <v>10.167111111111112</v>
      </c>
      <c r="H111">
        <f t="shared" si="30"/>
        <v>111.51087721897336</v>
      </c>
      <c r="I111">
        <f t="shared" si="31"/>
        <v>128.17798833008447</v>
      </c>
    </row>
    <row r="112" spans="1:9" x14ac:dyDescent="0.25">
      <c r="A112">
        <v>111</v>
      </c>
      <c r="B112">
        <f t="shared" si="24"/>
        <v>30.833333333333332</v>
      </c>
      <c r="C112" s="1">
        <f t="shared" si="25"/>
        <v>0.38</v>
      </c>
      <c r="D112" s="2">
        <f t="shared" si="26"/>
        <v>29.389333333333333</v>
      </c>
      <c r="E112">
        <f t="shared" si="27"/>
        <v>3.8670175438596495</v>
      </c>
      <c r="F112">
        <f t="shared" si="28"/>
        <v>5.55</v>
      </c>
      <c r="G112">
        <f t="shared" si="29"/>
        <v>10.272666666666666</v>
      </c>
      <c r="H112">
        <f t="shared" si="30"/>
        <v>113.64906760233919</v>
      </c>
      <c r="I112">
        <f t="shared" si="31"/>
        <v>130.47173426900585</v>
      </c>
    </row>
    <row r="113" spans="1:9" x14ac:dyDescent="0.25">
      <c r="A113">
        <v>112</v>
      </c>
      <c r="B113">
        <f t="shared" si="24"/>
        <v>31.111111111111111</v>
      </c>
      <c r="C113" s="1">
        <f t="shared" si="25"/>
        <v>0.38</v>
      </c>
      <c r="D113" s="2">
        <f t="shared" si="26"/>
        <v>29.667111111111112</v>
      </c>
      <c r="E113">
        <f t="shared" si="27"/>
        <v>3.9035672514619884</v>
      </c>
      <c r="F113">
        <f t="shared" si="28"/>
        <v>5.6</v>
      </c>
      <c r="G113">
        <f t="shared" si="29"/>
        <v>10.378222222222224</v>
      </c>
      <c r="H113">
        <f t="shared" si="30"/>
        <v>115.80756337881742</v>
      </c>
      <c r="I113">
        <f t="shared" si="31"/>
        <v>132.78578560103963</v>
      </c>
    </row>
    <row r="114" spans="1:9" x14ac:dyDescent="0.25">
      <c r="A114">
        <v>113</v>
      </c>
      <c r="B114">
        <f t="shared" si="24"/>
        <v>31.388888888888889</v>
      </c>
      <c r="C114" s="1">
        <f t="shared" si="25"/>
        <v>0.38</v>
      </c>
      <c r="D114" s="2">
        <f t="shared" si="26"/>
        <v>29.94488888888889</v>
      </c>
      <c r="E114">
        <f t="shared" si="27"/>
        <v>3.9401169590643277</v>
      </c>
      <c r="F114">
        <f t="shared" si="28"/>
        <v>5.6499999999999995</v>
      </c>
      <c r="G114">
        <f t="shared" si="29"/>
        <v>10.483777777777778</v>
      </c>
      <c r="H114">
        <f t="shared" si="30"/>
        <v>117.98636454840806</v>
      </c>
      <c r="I114">
        <f t="shared" si="31"/>
        <v>135.12014232618583</v>
      </c>
    </row>
    <row r="115" spans="1:9" x14ac:dyDescent="0.25">
      <c r="A115">
        <v>114</v>
      </c>
      <c r="B115">
        <f t="shared" si="24"/>
        <v>31.666666666666664</v>
      </c>
      <c r="C115" s="1">
        <f t="shared" si="25"/>
        <v>0.38</v>
      </c>
      <c r="D115" s="2">
        <f t="shared" si="26"/>
        <v>30.222666666666665</v>
      </c>
      <c r="E115">
        <f t="shared" si="27"/>
        <v>3.9766666666666666</v>
      </c>
      <c r="F115">
        <f t="shared" si="28"/>
        <v>5.6999999999999993</v>
      </c>
      <c r="G115">
        <f t="shared" si="29"/>
        <v>10.589333333333332</v>
      </c>
      <c r="H115">
        <f t="shared" si="30"/>
        <v>120.1854711111111</v>
      </c>
      <c r="I115">
        <f t="shared" si="31"/>
        <v>137.47480444444443</v>
      </c>
    </row>
    <row r="116" spans="1:9" x14ac:dyDescent="0.25">
      <c r="A116">
        <v>115</v>
      </c>
      <c r="B116">
        <f t="shared" si="24"/>
        <v>31.944444444444443</v>
      </c>
      <c r="C116" s="1">
        <f t="shared" si="25"/>
        <v>0.38</v>
      </c>
      <c r="D116" s="2">
        <f t="shared" si="26"/>
        <v>30.500444444444444</v>
      </c>
      <c r="E116">
        <f t="shared" si="27"/>
        <v>4.0132163742690059</v>
      </c>
      <c r="F116">
        <f t="shared" si="28"/>
        <v>5.7499999999999991</v>
      </c>
      <c r="G116">
        <f t="shared" si="29"/>
        <v>10.69488888888889</v>
      </c>
      <c r="H116">
        <f t="shared" si="30"/>
        <v>122.40488306692657</v>
      </c>
      <c r="I116">
        <f t="shared" si="31"/>
        <v>139.84977195581547</v>
      </c>
    </row>
    <row r="117" spans="1:9" x14ac:dyDescent="0.25">
      <c r="A117">
        <v>116</v>
      </c>
      <c r="B117">
        <f t="shared" si="24"/>
        <v>32.222222222222221</v>
      </c>
      <c r="C117" s="1">
        <f t="shared" si="25"/>
        <v>0.38</v>
      </c>
      <c r="D117" s="2">
        <f t="shared" si="26"/>
        <v>30.778222222222222</v>
      </c>
      <c r="E117">
        <f t="shared" si="27"/>
        <v>4.0497660818713452</v>
      </c>
      <c r="F117">
        <f t="shared" si="28"/>
        <v>5.8</v>
      </c>
      <c r="G117">
        <f t="shared" si="29"/>
        <v>10.800444444444445</v>
      </c>
      <c r="H117">
        <f t="shared" si="30"/>
        <v>124.64460041585446</v>
      </c>
      <c r="I117">
        <f t="shared" si="31"/>
        <v>142.24504486029889</v>
      </c>
    </row>
    <row r="118" spans="1:9" x14ac:dyDescent="0.25">
      <c r="A118">
        <v>117</v>
      </c>
      <c r="B118">
        <f t="shared" si="24"/>
        <v>32.5</v>
      </c>
      <c r="C118" s="1">
        <f t="shared" si="25"/>
        <v>0.38</v>
      </c>
      <c r="D118" s="2">
        <f t="shared" si="26"/>
        <v>31.056000000000001</v>
      </c>
      <c r="E118">
        <f t="shared" si="27"/>
        <v>4.0863157894736846</v>
      </c>
      <c r="F118">
        <f t="shared" si="28"/>
        <v>5.85</v>
      </c>
      <c r="G118">
        <f t="shared" si="29"/>
        <v>10.905999999999999</v>
      </c>
      <c r="H118">
        <f t="shared" si="30"/>
        <v>126.90462315789475</v>
      </c>
      <c r="I118">
        <f t="shared" si="31"/>
        <v>144.66062315789475</v>
      </c>
    </row>
    <row r="119" spans="1:9" x14ac:dyDescent="0.25">
      <c r="A119">
        <v>118</v>
      </c>
      <c r="B119">
        <f t="shared" si="24"/>
        <v>32.777777777777779</v>
      </c>
      <c r="C119" s="1">
        <f t="shared" si="25"/>
        <v>0.38</v>
      </c>
      <c r="D119" s="2">
        <f t="shared" si="26"/>
        <v>31.33377777777778</v>
      </c>
      <c r="E119">
        <f t="shared" si="27"/>
        <v>4.1228654970760239</v>
      </c>
      <c r="F119">
        <f t="shared" si="28"/>
        <v>5.9</v>
      </c>
      <c r="G119">
        <f t="shared" si="29"/>
        <v>11.011555555555557</v>
      </c>
      <c r="H119">
        <f t="shared" si="30"/>
        <v>129.18495129304745</v>
      </c>
      <c r="I119">
        <f t="shared" si="31"/>
        <v>147.09650684860301</v>
      </c>
    </row>
    <row r="120" spans="1:9" x14ac:dyDescent="0.25">
      <c r="A120">
        <v>119</v>
      </c>
      <c r="B120">
        <f t="shared" si="24"/>
        <v>33.055555555555557</v>
      </c>
      <c r="C120" s="1">
        <f t="shared" si="25"/>
        <v>0.38</v>
      </c>
      <c r="D120" s="2">
        <f t="shared" si="26"/>
        <v>31.611555555555558</v>
      </c>
      <c r="E120">
        <f t="shared" si="27"/>
        <v>4.1594152046783632</v>
      </c>
      <c r="F120">
        <f t="shared" si="28"/>
        <v>5.95</v>
      </c>
      <c r="G120">
        <f t="shared" si="29"/>
        <v>11.117111111111111</v>
      </c>
      <c r="H120">
        <f t="shared" si="30"/>
        <v>131.48558482131259</v>
      </c>
      <c r="I120">
        <f t="shared" si="31"/>
        <v>149.55269593242369</v>
      </c>
    </row>
    <row r="121" spans="1:9" x14ac:dyDescent="0.25">
      <c r="A121">
        <v>120</v>
      </c>
      <c r="B121">
        <f t="shared" si="24"/>
        <v>33.333333333333336</v>
      </c>
      <c r="C121" s="1">
        <f t="shared" si="25"/>
        <v>0.38</v>
      </c>
      <c r="D121" s="2">
        <f t="shared" si="26"/>
        <v>31.889333333333337</v>
      </c>
      <c r="E121">
        <f t="shared" si="27"/>
        <v>4.1959649122807026</v>
      </c>
      <c r="F121">
        <f t="shared" si="28"/>
        <v>6</v>
      </c>
      <c r="G121">
        <f t="shared" si="29"/>
        <v>11.222666666666669</v>
      </c>
      <c r="H121">
        <f t="shared" si="30"/>
        <v>133.8065237426901</v>
      </c>
      <c r="I121">
        <f t="shared" si="31"/>
        <v>152.02919040935677</v>
      </c>
    </row>
    <row r="122" spans="1:9" x14ac:dyDescent="0.25">
      <c r="A122">
        <v>121</v>
      </c>
      <c r="B122">
        <f t="shared" si="24"/>
        <v>33.611111111111107</v>
      </c>
      <c r="C122" s="1">
        <f t="shared" si="25"/>
        <v>0.38</v>
      </c>
      <c r="D122" s="2">
        <f t="shared" ref="D122:D131" si="32">B122+$M$2*C122^2/2</f>
        <v>32.167111111111105</v>
      </c>
      <c r="E122">
        <f t="shared" si="27"/>
        <v>4.2325146198830401</v>
      </c>
      <c r="F122">
        <f t="shared" ref="F122:F131" si="33">B122*$M$4</f>
        <v>6.0499999999999989</v>
      </c>
      <c r="G122">
        <f t="shared" ref="G122:G131" si="34">B122*C122+$M$2*C122^2/2</f>
        <v>11.32822222222222</v>
      </c>
      <c r="H122">
        <f t="shared" ref="H122:H131" si="35">D122*E122+M123*E122^2/2</f>
        <v>136.14776805717995</v>
      </c>
      <c r="I122">
        <f t="shared" ref="I122:I131" si="36">SUM(F122:H122)+1</f>
        <v>154.52599027940215</v>
      </c>
    </row>
    <row r="123" spans="1:9" x14ac:dyDescent="0.25">
      <c r="A123">
        <v>122</v>
      </c>
      <c r="B123">
        <f t="shared" si="24"/>
        <v>33.888888888888886</v>
      </c>
      <c r="C123" s="1">
        <f t="shared" si="25"/>
        <v>0.38</v>
      </c>
      <c r="D123" s="2">
        <f t="shared" si="32"/>
        <v>32.444888888888883</v>
      </c>
      <c r="E123">
        <f t="shared" si="27"/>
        <v>4.2690643274853795</v>
      </c>
      <c r="F123">
        <f t="shared" si="33"/>
        <v>6.1</v>
      </c>
      <c r="G123">
        <f t="shared" si="34"/>
        <v>11.433777777777777</v>
      </c>
      <c r="H123">
        <f t="shared" si="35"/>
        <v>138.50931776478228</v>
      </c>
      <c r="I123">
        <f t="shared" si="36"/>
        <v>157.04309554256005</v>
      </c>
    </row>
    <row r="124" spans="1:9" x14ac:dyDescent="0.25">
      <c r="A124">
        <v>123</v>
      </c>
      <c r="B124">
        <f t="shared" si="24"/>
        <v>34.166666666666664</v>
      </c>
      <c r="C124" s="1">
        <f t="shared" si="25"/>
        <v>0.38</v>
      </c>
      <c r="D124" s="2">
        <f t="shared" si="32"/>
        <v>32.722666666666662</v>
      </c>
      <c r="E124">
        <f t="shared" si="27"/>
        <v>4.3056140350877188</v>
      </c>
      <c r="F124">
        <f t="shared" si="33"/>
        <v>6.1499999999999995</v>
      </c>
      <c r="G124">
        <f t="shared" si="34"/>
        <v>11.539333333333332</v>
      </c>
      <c r="H124">
        <f t="shared" si="35"/>
        <v>140.89117286549703</v>
      </c>
      <c r="I124">
        <f t="shared" si="36"/>
        <v>159.58050619883036</v>
      </c>
    </row>
    <row r="125" spans="1:9" x14ac:dyDescent="0.25">
      <c r="A125">
        <v>124</v>
      </c>
      <c r="B125">
        <f t="shared" si="24"/>
        <v>34.444444444444443</v>
      </c>
      <c r="C125" s="1">
        <f t="shared" si="25"/>
        <v>0.38</v>
      </c>
      <c r="D125" s="2">
        <f t="shared" si="32"/>
        <v>33.00044444444444</v>
      </c>
      <c r="E125">
        <f t="shared" si="27"/>
        <v>4.3421637426900581</v>
      </c>
      <c r="F125">
        <f t="shared" si="33"/>
        <v>6.1999999999999993</v>
      </c>
      <c r="G125">
        <f t="shared" si="34"/>
        <v>11.64488888888889</v>
      </c>
      <c r="H125">
        <f t="shared" si="35"/>
        <v>143.29333335932421</v>
      </c>
      <c r="I125">
        <f t="shared" si="36"/>
        <v>162.13822224821308</v>
      </c>
    </row>
    <row r="126" spans="1:9" x14ac:dyDescent="0.25">
      <c r="A126">
        <v>125</v>
      </c>
      <c r="B126">
        <f t="shared" si="24"/>
        <v>34.722222222222221</v>
      </c>
      <c r="C126" s="1">
        <f t="shared" si="25"/>
        <v>0.38</v>
      </c>
      <c r="D126" s="2">
        <f t="shared" si="32"/>
        <v>33.278222222222219</v>
      </c>
      <c r="E126">
        <f t="shared" si="27"/>
        <v>4.3787134502923974</v>
      </c>
      <c r="F126">
        <f t="shared" si="33"/>
        <v>6.25</v>
      </c>
      <c r="G126">
        <f t="shared" si="34"/>
        <v>11.750444444444444</v>
      </c>
      <c r="H126">
        <f t="shared" si="35"/>
        <v>145.7157992462638</v>
      </c>
      <c r="I126">
        <f t="shared" si="36"/>
        <v>164.71624369070824</v>
      </c>
    </row>
    <row r="127" spans="1:9" x14ac:dyDescent="0.25">
      <c r="A127">
        <v>126</v>
      </c>
      <c r="B127">
        <f t="shared" si="24"/>
        <v>35</v>
      </c>
      <c r="C127" s="1">
        <f t="shared" si="25"/>
        <v>0.38</v>
      </c>
      <c r="D127" s="2">
        <f t="shared" si="32"/>
        <v>33.555999999999997</v>
      </c>
      <c r="E127">
        <f t="shared" si="27"/>
        <v>4.4152631578947368</v>
      </c>
      <c r="F127">
        <f t="shared" si="33"/>
        <v>6.3</v>
      </c>
      <c r="G127">
        <f t="shared" si="34"/>
        <v>11.856000000000002</v>
      </c>
      <c r="H127">
        <f t="shared" si="35"/>
        <v>148.15857052631577</v>
      </c>
      <c r="I127">
        <f t="shared" si="36"/>
        <v>167.31457052631578</v>
      </c>
    </row>
    <row r="128" spans="1:9" x14ac:dyDescent="0.25">
      <c r="A128">
        <v>127</v>
      </c>
      <c r="B128">
        <f t="shared" si="24"/>
        <v>35.277777777777779</v>
      </c>
      <c r="C128" s="1">
        <f t="shared" si="25"/>
        <v>0.38</v>
      </c>
      <c r="D128" s="2">
        <f t="shared" si="32"/>
        <v>33.833777777777776</v>
      </c>
      <c r="E128">
        <f t="shared" si="27"/>
        <v>4.4518128654970761</v>
      </c>
      <c r="F128">
        <f t="shared" si="33"/>
        <v>6.35</v>
      </c>
      <c r="G128">
        <f t="shared" si="34"/>
        <v>11.961555555555556</v>
      </c>
      <c r="H128">
        <f t="shared" si="35"/>
        <v>150.62164719948018</v>
      </c>
      <c r="I128">
        <f t="shared" si="36"/>
        <v>169.93320275503572</v>
      </c>
    </row>
    <row r="129" spans="1:9" x14ac:dyDescent="0.25">
      <c r="A129">
        <v>128</v>
      </c>
      <c r="B129">
        <f t="shared" si="24"/>
        <v>35.555555555555557</v>
      </c>
      <c r="C129" s="1">
        <f t="shared" si="25"/>
        <v>0.38</v>
      </c>
      <c r="D129" s="2">
        <f t="shared" si="32"/>
        <v>34.111555555555555</v>
      </c>
      <c r="E129">
        <f t="shared" si="27"/>
        <v>4.4883625730994154</v>
      </c>
      <c r="F129">
        <f t="shared" si="33"/>
        <v>6.4</v>
      </c>
      <c r="G129">
        <f t="shared" si="34"/>
        <v>12.06711111111111</v>
      </c>
      <c r="H129">
        <f t="shared" si="35"/>
        <v>153.105029265757</v>
      </c>
      <c r="I129">
        <f t="shared" si="36"/>
        <v>172.57214037686811</v>
      </c>
    </row>
    <row r="130" spans="1:9" x14ac:dyDescent="0.25">
      <c r="A130">
        <v>129</v>
      </c>
      <c r="B130">
        <f t="shared" si="24"/>
        <v>35.833333333333336</v>
      </c>
      <c r="C130" s="1">
        <f t="shared" si="25"/>
        <v>0.38</v>
      </c>
      <c r="D130" s="2">
        <f t="shared" si="32"/>
        <v>34.389333333333333</v>
      </c>
      <c r="E130">
        <f t="shared" si="27"/>
        <v>4.5249122807017548</v>
      </c>
      <c r="F130">
        <f t="shared" si="33"/>
        <v>6.45</v>
      </c>
      <c r="G130">
        <f t="shared" si="34"/>
        <v>12.172666666666668</v>
      </c>
      <c r="H130">
        <f t="shared" si="35"/>
        <v>155.60871672514622</v>
      </c>
      <c r="I130">
        <f t="shared" si="36"/>
        <v>175.2313833918129</v>
      </c>
    </row>
    <row r="131" spans="1:9" x14ac:dyDescent="0.25">
      <c r="A131">
        <v>130</v>
      </c>
      <c r="B131">
        <f t="shared" si="24"/>
        <v>36.111111111111107</v>
      </c>
      <c r="C131" s="1">
        <f t="shared" si="25"/>
        <v>0.38</v>
      </c>
      <c r="D131" s="2">
        <f t="shared" si="32"/>
        <v>34.667111111111105</v>
      </c>
      <c r="E131">
        <f t="shared" si="27"/>
        <v>4.5614619883040932</v>
      </c>
      <c r="F131">
        <f t="shared" si="33"/>
        <v>6.4999999999999991</v>
      </c>
      <c r="G131">
        <f t="shared" si="34"/>
        <v>12.278222222222222</v>
      </c>
      <c r="H131">
        <f t="shared" si="35"/>
        <v>158.13270957764777</v>
      </c>
      <c r="I131">
        <f t="shared" si="36"/>
        <v>177.91093179986999</v>
      </c>
    </row>
  </sheetData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Misi</dc:creator>
  <dc:description/>
  <cp:lastModifiedBy>GCS</cp:lastModifiedBy>
  <cp:revision>1</cp:revision>
  <dcterms:created xsi:type="dcterms:W3CDTF">2019-11-25T22:15:12Z</dcterms:created>
  <dcterms:modified xsi:type="dcterms:W3CDTF">2019-11-26T11:12:17Z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