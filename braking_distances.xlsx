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ZTAKI\Forerunner_UAV\"/>
    </mc:Choice>
  </mc:AlternateContent>
  <xr:revisionPtr revIDLastSave="0" documentId="13_ncr:1_{7B9727C9-9C4C-41D7-8F36-7F3F3E409A28}" xr6:coauthVersionLast="45" xr6:coauthVersionMax="45" xr10:uidLastSave="{00000000-0000-0000-0000-000000000000}"/>
  <bookViews>
    <workbookView xWindow="1560" yWindow="1560" windowWidth="21600" windowHeight="11385" xr2:uid="{DCC9DBE6-1F89-4C65-A6F3-DC4F060FCE7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2" i="1"/>
  <c r="C2" i="1"/>
  <c r="D2" i="1" s="1"/>
  <c r="F3" i="1"/>
  <c r="F4" i="1"/>
  <c r="F5" i="1"/>
  <c r="F6" i="1"/>
  <c r="F2" i="1"/>
  <c r="B18" i="1"/>
  <c r="C4" i="1" s="1"/>
  <c r="D4" i="1" l="1"/>
  <c r="G4" i="1"/>
  <c r="I2" i="1"/>
  <c r="E2" i="1"/>
  <c r="H2" i="1"/>
  <c r="C3" i="1"/>
  <c r="C6" i="1"/>
  <c r="G2" i="1"/>
  <c r="C5" i="1"/>
  <c r="G6" i="1" l="1"/>
  <c r="D6" i="1"/>
  <c r="G5" i="1"/>
  <c r="D5" i="1"/>
  <c r="E4" i="1"/>
  <c r="H4" i="1" s="1"/>
  <c r="I4" i="1" s="1"/>
  <c r="D3" i="1"/>
  <c r="G3" i="1"/>
  <c r="E5" i="1" l="1"/>
  <c r="H5" i="1"/>
  <c r="I5" i="1" s="1"/>
  <c r="E3" i="1"/>
  <c r="H3" i="1" s="1"/>
  <c r="I3" i="1" s="1"/>
  <c r="E6" i="1"/>
  <c r="H6" i="1"/>
  <c r="I6" i="1" s="1"/>
</calcChain>
</file>

<file path=xl/sharedStrings.xml><?xml version="1.0" encoding="utf-8"?>
<sst xmlns="http://schemas.openxmlformats.org/spreadsheetml/2006/main" count="13" uniqueCount="13">
  <si>
    <t>V0</t>
  </si>
  <si>
    <t>a_a</t>
  </si>
  <si>
    <t>a_x</t>
  </si>
  <si>
    <t>t2</t>
  </si>
  <si>
    <t>t3</t>
  </si>
  <si>
    <t>V3</t>
  </si>
  <si>
    <t>t3c</t>
  </si>
  <si>
    <t>t4</t>
  </si>
  <si>
    <t>S2</t>
  </si>
  <si>
    <t>S3</t>
  </si>
  <si>
    <t>S4</t>
  </si>
  <si>
    <t>S</t>
  </si>
  <si>
    <t>V0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</si>
</sst>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252F-1CFD-4EA9-A556-45C398FABFB4}">
  <dimension ref="A1:I18"/>
  <sheetViews>
    <sheetView tabSelected="1" workbookViewId="0">
      <selection activeCell="I4" sqref="I4"/>
    </sheetView>
  </sheetViews>
  <sheetFormatPr defaultRowHeight="15" x14ac:dyDescent="0.25"/>
  <cols>
    <col min="4" max="4" width="12.7109375" bestFit="1" customWidth="1"/>
  </cols>
  <sheetData>
    <row r="1" spans="1:9" x14ac:dyDescent="0.25">
      <c r="A1" t="s">
        <v>12</v>
      </c>
      <c r="B1" t="s">
        <v>0</v>
      </c>
      <c r="C1" t="s">
        <v>4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25">
      <c r="A2">
        <f>B2*3.6</f>
        <v>18</v>
      </c>
      <c r="B2">
        <v>5</v>
      </c>
      <c r="C2" s="1">
        <f>MIN(SQRT((2*B2)/ABS($B$15)),$B$18)</f>
        <v>0.38</v>
      </c>
      <c r="D2" s="2">
        <f>B2+$B$15*C2^2/2</f>
        <v>3.556</v>
      </c>
      <c r="E2">
        <f>D2/ABS($B$16)</f>
        <v>0.46789473684210531</v>
      </c>
      <c r="F2">
        <f>B2*$B$17</f>
        <v>0.89999999999999991</v>
      </c>
      <c r="G2">
        <f>B2*C2+$B$15*C2^2/2</f>
        <v>0.45599999999999996</v>
      </c>
      <c r="H2">
        <f>D2*E2+B16*E2^2/2</f>
        <v>0.83191684210526329</v>
      </c>
      <c r="I2">
        <f>SUM(F2:H2)+1</f>
        <v>3.1879168421052633</v>
      </c>
    </row>
    <row r="3" spans="1:9" x14ac:dyDescent="0.25">
      <c r="A3">
        <f t="shared" ref="A3:A6" si="0">B3*3.6</f>
        <v>36</v>
      </c>
      <c r="B3">
        <v>10</v>
      </c>
      <c r="C3" s="1">
        <f t="shared" ref="C3:C6" si="1">MIN(SQRT((2*B3)/ABS($B$15)),$B$18)</f>
        <v>0.38</v>
      </c>
      <c r="D3" s="2">
        <f t="shared" ref="D3:D6" si="2">B3+$B$15*(C3^2)/2</f>
        <v>8.5560000000000009</v>
      </c>
      <c r="E3">
        <f t="shared" ref="E3:E6" si="3">D3/ABS($B$16)</f>
        <v>1.1257894736842107</v>
      </c>
      <c r="F3">
        <f t="shared" ref="F3:F6" si="4">B3*$B$17</f>
        <v>1.7999999999999998</v>
      </c>
      <c r="G3">
        <f t="shared" ref="G3:G6" si="5">B3*C3+$B$15*C3^2/2</f>
        <v>2.3559999999999999</v>
      </c>
      <c r="H3">
        <f>D3*E3+B17*E3^2/2</f>
        <v>9.7463209113573424</v>
      </c>
      <c r="I3">
        <f t="shared" ref="I3:I6" si="6">SUM(F3:H3)+1</f>
        <v>14.902320911357343</v>
      </c>
    </row>
    <row r="4" spans="1:9" x14ac:dyDescent="0.25">
      <c r="A4">
        <f t="shared" si="0"/>
        <v>72</v>
      </c>
      <c r="B4">
        <v>20</v>
      </c>
      <c r="C4" s="1">
        <f t="shared" si="1"/>
        <v>0.38</v>
      </c>
      <c r="D4" s="2">
        <f t="shared" si="2"/>
        <v>18.556000000000001</v>
      </c>
      <c r="E4">
        <f t="shared" si="3"/>
        <v>2.4415789473684213</v>
      </c>
      <c r="F4">
        <f t="shared" si="4"/>
        <v>3.5999999999999996</v>
      </c>
      <c r="G4">
        <f t="shared" si="5"/>
        <v>6.1559999999999997</v>
      </c>
      <c r="H4">
        <f>D4*E4+B18*E4^2/2</f>
        <v>46.438587421052638</v>
      </c>
      <c r="I4">
        <f t="shared" si="6"/>
        <v>57.194587421052638</v>
      </c>
    </row>
    <row r="5" spans="1:9" x14ac:dyDescent="0.25">
      <c r="A5">
        <f t="shared" si="0"/>
        <v>108</v>
      </c>
      <c r="B5">
        <v>30</v>
      </c>
      <c r="C5" s="1">
        <f t="shared" si="1"/>
        <v>0.38</v>
      </c>
      <c r="D5" s="2">
        <f t="shared" si="2"/>
        <v>28.556000000000001</v>
      </c>
      <c r="E5">
        <f t="shared" si="3"/>
        <v>3.7573684210526319</v>
      </c>
      <c r="F5">
        <f t="shared" si="4"/>
        <v>5.3999999999999995</v>
      </c>
      <c r="G5">
        <f t="shared" si="5"/>
        <v>9.9559999999999995</v>
      </c>
      <c r="H5">
        <f>D5*E5+B19*E5^2/2</f>
        <v>107.29541263157896</v>
      </c>
      <c r="I5">
        <f t="shared" si="6"/>
        <v>123.65141263157895</v>
      </c>
    </row>
    <row r="6" spans="1:9" x14ac:dyDescent="0.25">
      <c r="A6">
        <f t="shared" si="0"/>
        <v>144</v>
      </c>
      <c r="B6">
        <v>40</v>
      </c>
      <c r="C6" s="1">
        <f t="shared" si="1"/>
        <v>0.38</v>
      </c>
      <c r="D6" s="2">
        <f t="shared" si="2"/>
        <v>38.555999999999997</v>
      </c>
      <c r="E6">
        <f t="shared" si="3"/>
        <v>5.0731578947368421</v>
      </c>
      <c r="F6">
        <f t="shared" si="4"/>
        <v>7.1999999999999993</v>
      </c>
      <c r="G6">
        <f t="shared" si="5"/>
        <v>13.756</v>
      </c>
      <c r="H6">
        <f>D6*E6+B20*E6^2/2</f>
        <v>195.60067578947368</v>
      </c>
      <c r="I6">
        <f t="shared" si="6"/>
        <v>217.55667578947367</v>
      </c>
    </row>
    <row r="7" spans="1:9" x14ac:dyDescent="0.25">
      <c r="B7" s="1"/>
      <c r="C7" s="2"/>
    </row>
    <row r="8" spans="1:9" x14ac:dyDescent="0.25">
      <c r="B8" s="1"/>
      <c r="C8" s="2"/>
    </row>
    <row r="9" spans="1:9" x14ac:dyDescent="0.25">
      <c r="B9" s="1"/>
      <c r="C9" s="2"/>
    </row>
    <row r="10" spans="1:9" x14ac:dyDescent="0.25">
      <c r="B10" s="1"/>
      <c r="C10" s="2"/>
    </row>
    <row r="11" spans="1:9" x14ac:dyDescent="0.25">
      <c r="B11" s="1"/>
      <c r="C11" s="2"/>
    </row>
    <row r="12" spans="1:9" x14ac:dyDescent="0.25">
      <c r="B12" s="1"/>
      <c r="C12" s="2"/>
    </row>
    <row r="15" spans="1:9" x14ac:dyDescent="0.25">
      <c r="A15" t="s">
        <v>1</v>
      </c>
      <c r="B15" s="2">
        <v>-20</v>
      </c>
    </row>
    <row r="16" spans="1:9" x14ac:dyDescent="0.25">
      <c r="A16" t="s">
        <v>2</v>
      </c>
      <c r="B16" s="2">
        <v>-7.6</v>
      </c>
    </row>
    <row r="17" spans="1:2" x14ac:dyDescent="0.25">
      <c r="A17" t="s">
        <v>3</v>
      </c>
      <c r="B17">
        <v>0.18</v>
      </c>
    </row>
    <row r="18" spans="1:2" x14ac:dyDescent="0.25">
      <c r="A18" t="s">
        <v>6</v>
      </c>
      <c r="B18">
        <f>B16/B15</f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Misi</dc:creator>
  <cp:lastModifiedBy>Misi</cp:lastModifiedBy>
  <dcterms:created xsi:type="dcterms:W3CDTF">2019-11-25T22:15:12Z</dcterms:created>
  <dcterms:modified xsi:type="dcterms:W3CDTF">2019-11-25T22:34:23Z</dcterms:modified>
</cp:coreProperties>
</file>