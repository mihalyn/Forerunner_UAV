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ZTAKI\Forerunner_UAV\"/>
    </mc:Choice>
  </mc:AlternateContent>
  <xr:revisionPtr revIDLastSave="0" documentId="13_ncr:1_{7351AEC7-6CD6-46FE-94BF-6AC394C757E9}" xr6:coauthVersionLast="45" xr6:coauthVersionMax="45" xr10:uidLastSave="{00000000-0000-0000-0000-000000000000}"/>
  <bookViews>
    <workbookView xWindow="1560" yWindow="1560" windowWidth="21600" windowHeight="11385" xr2:uid="{1F046DB3-A866-4BEC-B69F-5686D1E8B6B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  <c r="F3" i="1"/>
  <c r="F4" i="1"/>
  <c r="F5" i="1"/>
  <c r="F2" i="1"/>
  <c r="E3" i="1"/>
  <c r="E4" i="1"/>
  <c r="E5" i="1"/>
  <c r="E6" i="1"/>
  <c r="E7" i="1"/>
  <c r="E2" i="1"/>
  <c r="D3" i="1"/>
  <c r="D4" i="1"/>
  <c r="D5" i="1"/>
  <c r="D6" i="1"/>
  <c r="G6" i="1" s="1"/>
  <c r="D7" i="1"/>
  <c r="D2" i="1"/>
  <c r="C3" i="1"/>
  <c r="C4" i="1"/>
  <c r="C5" i="1"/>
  <c r="C6" i="1"/>
  <c r="C7" i="1"/>
  <c r="C2" i="1"/>
  <c r="F6" i="1" l="1"/>
  <c r="F7" i="1"/>
  <c r="G7" i="1"/>
</calcChain>
</file>

<file path=xl/sharedStrings.xml><?xml version="1.0" encoding="utf-8"?>
<sst xmlns="http://schemas.openxmlformats.org/spreadsheetml/2006/main" count="10" uniqueCount="10">
  <si>
    <t>epsilon</t>
  </si>
  <si>
    <t>H</t>
  </si>
  <si>
    <t>a</t>
  </si>
  <si>
    <t>b</t>
  </si>
  <si>
    <t>c</t>
  </si>
  <si>
    <t>H_0</t>
  </si>
  <si>
    <t>X_min</t>
  </si>
  <si>
    <t>f</t>
  </si>
  <si>
    <t>D_max1</t>
  </si>
  <si>
    <t>D_max2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</si>
</sst>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C73B5-6F53-4B36-ABE6-5A6D9229A30C}">
  <dimension ref="A1:J7"/>
  <sheetViews>
    <sheetView tabSelected="1" workbookViewId="0">
      <selection activeCell="G9" sqref="G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</row>
    <row r="2" spans="1:10" x14ac:dyDescent="0.25">
      <c r="A2">
        <v>15</v>
      </c>
      <c r="B2">
        <v>10</v>
      </c>
      <c r="C2">
        <f>COS(RADIANS(A2))^2</f>
        <v>0.93301270189221941</v>
      </c>
      <c r="D2">
        <f>SIN(RADIANS(A2))*COS(RADIANS(A2))*(2*B2-$J$3)-$J$3*$J$5/$J$4</f>
        <v>-55.449760000000012</v>
      </c>
      <c r="E2">
        <f>B2*SIN(RADIANS(A2))^2*(B2-$J$3)</f>
        <v>5.4929584448380133</v>
      </c>
      <c r="F2">
        <f>(-D2+SQRT(D2^2-4*C2*E2))/(2*C2)</f>
        <v>59.33164607910706</v>
      </c>
      <c r="G2">
        <f>(-D2-SQRT(D2^2-4*C2*E2))/(2*C2)</f>
        <v>9.9227570891235725E-2</v>
      </c>
    </row>
    <row r="3" spans="1:10" x14ac:dyDescent="0.25">
      <c r="A3">
        <v>35</v>
      </c>
      <c r="B3">
        <v>10</v>
      </c>
      <c r="C3">
        <f t="shared" ref="C3:C7" si="0">COS(RADIANS(A3))^2</f>
        <v>0.67101007166283433</v>
      </c>
      <c r="D3">
        <f t="shared" ref="D3:D7" si="1">SIN(RADIANS(A3))*COS(RADIANS(A3))*(2*B3-$J$3)-$J$3*$J$5/$J$4</f>
        <v>-51.448557150848245</v>
      </c>
      <c r="E3">
        <f t="shared" ref="E3:E7" si="2">B3*SIN(RADIANS(A3))^2*(B3-$J$3)</f>
        <v>26.977174123647572</v>
      </c>
      <c r="F3">
        <f t="shared" ref="F3:F7" si="3">(-D3+SQRT(D3^2-4*C3*E3))/(2*C3)</f>
        <v>76.14531269820354</v>
      </c>
      <c r="G3">
        <f t="shared" ref="G3:G7" si="4">(-D3-SQRT(D3^2-4*C3*E3))/(2*C3)</f>
        <v>0.52798823057871758</v>
      </c>
      <c r="I3" t="s">
        <v>5</v>
      </c>
      <c r="J3">
        <v>1.8</v>
      </c>
    </row>
    <row r="4" spans="1:10" x14ac:dyDescent="0.25">
      <c r="A4">
        <v>15</v>
      </c>
      <c r="B4">
        <v>20</v>
      </c>
      <c r="C4">
        <f t="shared" si="0"/>
        <v>0.93301270189221941</v>
      </c>
      <c r="D4">
        <f t="shared" si="1"/>
        <v>-50.449760000000012</v>
      </c>
      <c r="E4">
        <f t="shared" si="2"/>
        <v>24.383376511232157</v>
      </c>
      <c r="F4">
        <f t="shared" si="3"/>
        <v>53.584170688738588</v>
      </c>
      <c r="G4">
        <f t="shared" si="4"/>
        <v>0.48771911263725198</v>
      </c>
      <c r="I4" t="s">
        <v>6</v>
      </c>
      <c r="J4">
        <v>25</v>
      </c>
    </row>
    <row r="5" spans="1:10" x14ac:dyDescent="0.25">
      <c r="A5">
        <v>35</v>
      </c>
      <c r="B5">
        <v>20</v>
      </c>
      <c r="C5">
        <f t="shared" si="0"/>
        <v>0.67101007166283433</v>
      </c>
      <c r="D5">
        <f t="shared" si="1"/>
        <v>-42.051630942989163</v>
      </c>
      <c r="E5">
        <f t="shared" si="2"/>
        <v>119.75233391472825</v>
      </c>
      <c r="F5">
        <f t="shared" si="3"/>
        <v>59.678707075318734</v>
      </c>
      <c r="G5">
        <f t="shared" si="4"/>
        <v>2.9904430892693283</v>
      </c>
      <c r="I5" t="s">
        <v>7</v>
      </c>
      <c r="J5">
        <v>833.33</v>
      </c>
    </row>
    <row r="6" spans="1:10" x14ac:dyDescent="0.25">
      <c r="A6">
        <v>15</v>
      </c>
      <c r="B6">
        <v>30</v>
      </c>
      <c r="C6">
        <f t="shared" si="0"/>
        <v>0.93301270189221941</v>
      </c>
      <c r="D6">
        <f t="shared" si="1"/>
        <v>-45.449760000000012</v>
      </c>
      <c r="E6">
        <f t="shared" si="2"/>
        <v>56.671254199182442</v>
      </c>
      <c r="F6">
        <f t="shared" si="3"/>
        <v>47.432343737158384</v>
      </c>
      <c r="G6">
        <f t="shared" si="4"/>
        <v>1.2805622155950014</v>
      </c>
    </row>
    <row r="7" spans="1:10" x14ac:dyDescent="0.25">
      <c r="A7">
        <v>35</v>
      </c>
      <c r="B7">
        <v>30</v>
      </c>
      <c r="C7">
        <f t="shared" si="0"/>
        <v>0.67101007166283433</v>
      </c>
      <c r="D7">
        <f t="shared" si="1"/>
        <v>-32.654704735130075</v>
      </c>
      <c r="E7">
        <f t="shared" si="2"/>
        <v>278.32547937324205</v>
      </c>
      <c r="F7">
        <f t="shared" si="3"/>
        <v>37.647329664019217</v>
      </c>
      <c r="G7">
        <f t="shared" si="4"/>
        <v>11.017669736374646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Misi</dc:creator>
  <cp:lastModifiedBy>Misi</cp:lastModifiedBy>
  <dcterms:created xsi:type="dcterms:W3CDTF">2019-12-07T19:10:48Z</dcterms:created>
  <dcterms:modified xsi:type="dcterms:W3CDTF">2019-12-07T21:16:31Z</dcterms:modified>
</cp:coreProperties>
</file>